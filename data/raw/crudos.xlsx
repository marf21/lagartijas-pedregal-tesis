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HUACALLI" sheetId="1" r:id="rId5"/>
    <sheet state="visible" name="CUICUILCO" sheetId="2" r:id="rId6"/>
    <sheet state="visible" name="REPSA" sheetId="3" r:id="rId7"/>
  </sheets>
  <definedNames/>
  <calcPr/>
</workbook>
</file>

<file path=xl/sharedStrings.xml><?xml version="1.0" encoding="utf-8"?>
<sst xmlns="http://schemas.openxmlformats.org/spreadsheetml/2006/main" count="1817" uniqueCount="96">
  <si>
    <t>Especie</t>
  </si>
  <si>
    <t>Avistamiento</t>
  </si>
  <si>
    <t>Transecto</t>
  </si>
  <si>
    <t xml:space="preserve">Edad </t>
  </si>
  <si>
    <t>Distancia cm</t>
  </si>
  <si>
    <t>Altura cm</t>
  </si>
  <si>
    <t>Sustrato</t>
  </si>
  <si>
    <t>Actividad</t>
  </si>
  <si>
    <t>Distancia_m</t>
  </si>
  <si>
    <t>sexo</t>
  </si>
  <si>
    <t>Fecha</t>
  </si>
  <si>
    <t>Hora I.</t>
  </si>
  <si>
    <t>Hora T.</t>
  </si>
  <si>
    <t>Cond. Climáticas</t>
  </si>
  <si>
    <t>Notas</t>
  </si>
  <si>
    <t>Vegetación</t>
  </si>
  <si>
    <t>Esfuerzo_muestreo</t>
  </si>
  <si>
    <t>TOTAL Lagartijas</t>
  </si>
  <si>
    <t>Edad</t>
  </si>
  <si>
    <t>BARDA</t>
  </si>
  <si>
    <t>PEDREGAL</t>
  </si>
  <si>
    <t>No</t>
  </si>
  <si>
    <t>EDAD</t>
  </si>
  <si>
    <t>ACTIVID</t>
  </si>
  <si>
    <t>SUSTRAT</t>
  </si>
  <si>
    <t>Soleado</t>
  </si>
  <si>
    <t>Vegetación introducida</t>
  </si>
  <si>
    <t>introducida</t>
  </si>
  <si>
    <t xml:space="preserve">1: Asolearse </t>
  </si>
  <si>
    <t>1: árbol</t>
  </si>
  <si>
    <t>1: adulto</t>
  </si>
  <si>
    <t>5: grammicus</t>
  </si>
  <si>
    <t>2: Cazando</t>
  </si>
  <si>
    <t>2: pared de roca</t>
  </si>
  <si>
    <t>2: juvenil</t>
  </si>
  <si>
    <t>7: torquatus</t>
  </si>
  <si>
    <t>&gt;EDAD TOT</t>
  </si>
  <si>
    <t>3: Cortejo</t>
  </si>
  <si>
    <t>3: tronco derrivado</t>
  </si>
  <si>
    <t>3: neonato</t>
  </si>
  <si>
    <t>nativa</t>
  </si>
  <si>
    <t>4: Enfrentamiento</t>
  </si>
  <si>
    <t>4: pared de concreto</t>
  </si>
  <si>
    <t>Gatos (6)</t>
  </si>
  <si>
    <t>5: Posada</t>
  </si>
  <si>
    <t>5: roca volcánica</t>
  </si>
  <si>
    <t>&gt; ACTIVID TOT</t>
  </si>
  <si>
    <t>6: suelo</t>
  </si>
  <si>
    <t>G</t>
  </si>
  <si>
    <t>7: nopal</t>
  </si>
  <si>
    <t>8: cascajo</t>
  </si>
  <si>
    <t>&gt;SUSTRAT TOT</t>
  </si>
  <si>
    <t>bajo lámina</t>
  </si>
  <si>
    <t>Esfuerzo neto</t>
  </si>
  <si>
    <t>Tiempo de recorrido</t>
  </si>
  <si>
    <t>HEMBRA</t>
  </si>
  <si>
    <t>Esfuerzo neto total</t>
  </si>
  <si>
    <t>MACHO</t>
  </si>
  <si>
    <t>Especie + frecuente</t>
  </si>
  <si>
    <t>Gatos</t>
  </si>
  <si>
    <t>T</t>
  </si>
  <si>
    <t>Ladridos de perro</t>
  </si>
  <si>
    <t>Basura</t>
  </si>
  <si>
    <t>Sombra en transecto</t>
  </si>
  <si>
    <t>Poda reciente</t>
  </si>
  <si>
    <t>Nublado</t>
  </si>
  <si>
    <t>Nublado; Frío; Viento</t>
  </si>
  <si>
    <t>Soleado; Frío; Viento</t>
  </si>
  <si>
    <t>Soleado; Viento</t>
  </si>
  <si>
    <t>Gatos; Sombra en transecto</t>
  </si>
  <si>
    <t>Soleado; Frío</t>
  </si>
  <si>
    <t>Nublado; Calor</t>
  </si>
  <si>
    <t>precipicio</t>
  </si>
  <si>
    <t>cazó chapulin y lombriz</t>
  </si>
  <si>
    <t>Soleado; Húmedo</t>
  </si>
  <si>
    <t>Nublado; Húmedo</t>
  </si>
  <si>
    <t>Distancia_cm</t>
  </si>
  <si>
    <t>Altura_cm</t>
  </si>
  <si>
    <t>Vegetación cerrada</t>
  </si>
  <si>
    <t>Excretas de lagartija</t>
  </si>
  <si>
    <t>Pirul</t>
  </si>
  <si>
    <t>Colinda con Periférico</t>
  </si>
  <si>
    <t/>
  </si>
  <si>
    <t>Distancias dif. A 0</t>
  </si>
  <si>
    <t>Truncado</t>
  </si>
  <si>
    <t>Sexo</t>
  </si>
  <si>
    <t xml:space="preserve">EDAD </t>
  </si>
  <si>
    <t>ATIVID</t>
  </si>
  <si>
    <t xml:space="preserve">introducida </t>
  </si>
  <si>
    <t>EDAD TOT</t>
  </si>
  <si>
    <t xml:space="preserve">  </t>
  </si>
  <si>
    <t>ACTIVID TOT</t>
  </si>
  <si>
    <t>SUSTRAT TOT</t>
  </si>
  <si>
    <t>Soleado; Nublado</t>
  </si>
  <si>
    <t>Abundante M.O.</t>
  </si>
  <si>
    <t>Sobre vidrios de barda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</si>
</sst>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3FEFF"/>
        <bgColor rgb="FF73FEFF"/>
      </patternFill>
    </fill>
    <fill>
      <patternFill patternType="solid">
        <fgColor rgb="FFD5FC79"/>
        <bgColor rgb="FFD5FC79"/>
      </patternFill>
    </fill>
    <fill>
      <patternFill patternType="solid">
        <fgColor rgb="FFB89CFF"/>
        <bgColor rgb="FFB89CFF"/>
      </patternFill>
    </fill>
    <fill>
      <patternFill patternType="solid">
        <fgColor rgb="FF00FCD6"/>
        <bgColor rgb="FF00FCD6"/>
      </patternFill>
    </fill>
    <fill>
      <patternFill patternType="solid">
        <fgColor rgb="FFFF80A9"/>
        <bgColor rgb="FFFF80A9"/>
      </patternFill>
    </fill>
  </fills>
  <borders count="7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16" xfId="0" applyFont="1" applyNumberFormat="1"/>
    <xf borderId="0" fillId="0" fontId="5" numFmtId="20" xfId="0" applyFont="1" applyNumberFormat="1"/>
    <xf borderId="0" fillId="0" fontId="5" numFmtId="0" xfId="0" applyFont="1"/>
    <xf borderId="0" fillId="0" fontId="4" numFmtId="20" xfId="0" applyFont="1" applyNumberFormat="1"/>
    <xf borderId="1" fillId="4" fontId="4" numFmtId="0" xfId="0" applyBorder="1" applyFill="1" applyFont="1"/>
    <xf borderId="0" fillId="0" fontId="4" numFmtId="0" xfId="0" applyFont="1"/>
    <xf borderId="1" fillId="2" fontId="4" numFmtId="0" xfId="0" applyBorder="1" applyFont="1"/>
    <xf borderId="1" fillId="3" fontId="4" numFmtId="0" xfId="0" applyBorder="1" applyFont="1"/>
    <xf borderId="1" fillId="5" fontId="5" numFmtId="0" xfId="0" applyBorder="1" applyFill="1" applyFont="1"/>
    <xf borderId="1" fillId="5" fontId="4" numFmtId="0" xfId="0" applyBorder="1" applyFont="1"/>
    <xf borderId="1" fillId="5" fontId="1" numFmtId="0" xfId="0" applyBorder="1" applyFont="1"/>
    <xf borderId="1" fillId="6" fontId="5" numFmtId="0" xfId="0" applyBorder="1" applyFill="1" applyFont="1"/>
    <xf borderId="1" fillId="6" fontId="4" numFmtId="0" xfId="0" applyBorder="1" applyFont="1"/>
    <xf borderId="1" fillId="4" fontId="4" numFmtId="20" xfId="0" applyBorder="1" applyFont="1" applyNumberFormat="1"/>
    <xf borderId="0" fillId="0" fontId="4" numFmtId="2" xfId="0" applyFont="1" applyNumberFormat="1"/>
    <xf borderId="2" fillId="0" fontId="1" numFmtId="20" xfId="0" applyBorder="1" applyFont="1" applyNumberFormat="1"/>
    <xf borderId="3" fillId="0" fontId="4" numFmtId="0" xfId="0" applyBorder="1" applyFont="1"/>
    <xf borderId="3" fillId="0" fontId="5" numFmtId="16" xfId="0" applyBorder="1" applyFont="1" applyNumberFormat="1"/>
    <xf borderId="3" fillId="0" fontId="5" numFmtId="20" xfId="0" applyBorder="1" applyFont="1" applyNumberFormat="1"/>
    <xf borderId="3" fillId="0" fontId="5" numFmtId="0" xfId="0" applyBorder="1" applyFont="1"/>
    <xf borderId="4" fillId="0" fontId="4" numFmtId="0" xfId="0" applyBorder="1" applyFont="1"/>
    <xf borderId="0" fillId="0" fontId="5" numFmtId="15" xfId="0" applyFont="1" applyNumberFormat="1"/>
    <xf borderId="5" fillId="4" fontId="1" numFmtId="0" xfId="0" applyBorder="1" applyFont="1"/>
    <xf borderId="3" fillId="0" fontId="5" numFmtId="15" xfId="0" applyBorder="1" applyFont="1" applyNumberFormat="1"/>
    <xf borderId="1" fillId="3" fontId="4" numFmtId="15" xfId="0" applyBorder="1" applyFont="1" applyNumberFormat="1"/>
    <xf borderId="1" fillId="3" fontId="5" numFmtId="15" xfId="0" applyBorder="1" applyFont="1" applyNumberFormat="1"/>
    <xf borderId="6" fillId="3" fontId="5" numFmtId="15" xfId="0" applyBorder="1" applyFont="1" applyNumberFormat="1"/>
    <xf borderId="3" fillId="0" fontId="4" numFmtId="20" xfId="0" applyBorder="1" applyFont="1" applyNumberFormat="1"/>
    <xf borderId="0" fillId="0" fontId="4" numFmtId="15" xfId="0" applyFont="1" applyNumberFormat="1"/>
    <xf borderId="6" fillId="3" fontId="4" numFmtId="0" xfId="0" applyBorder="1" applyFont="1"/>
    <xf borderId="3" fillId="0" fontId="4" numFmtId="16" xfId="0" applyBorder="1" applyFont="1" applyNumberFormat="1"/>
    <xf borderId="3" fillId="0" fontId="4" numFmtId="15" xfId="0" applyBorder="1" applyFont="1" applyNumberFormat="1"/>
    <xf borderId="1" fillId="3" fontId="5" numFmtId="0" xfId="0" applyBorder="1" applyFont="1"/>
    <xf borderId="0" fillId="0" fontId="4" numFmtId="49" xfId="0" applyFont="1" applyNumberFormat="1"/>
    <xf borderId="0" fillId="0" fontId="1" numFmtId="49" xfId="0" applyFont="1" applyNumberFormat="1"/>
    <xf borderId="0" fillId="0" fontId="5" numFmtId="16" xfId="0" applyFont="1" applyNumberFormat="1"/>
    <xf borderId="3" fillId="0" fontId="4" numFmtId="49" xfId="0" applyBorder="1" applyFont="1" applyNumberFormat="1"/>
    <xf quotePrefix="1" borderId="0" fillId="0" fontId="4" numFmtId="49" xfId="0" applyFont="1" applyNumberFormat="1"/>
    <xf borderId="0" fillId="0" fontId="5" numFmtId="49" xfId="0" applyFont="1" applyNumberFormat="1"/>
    <xf borderId="3" fillId="0" fontId="5" numFmtId="49" xfId="0" applyBorder="1" applyFont="1" applyNumberFormat="1"/>
    <xf borderId="0" fillId="0" fontId="4" numFmtId="9" xfId="0" applyFont="1" applyNumberFormat="1"/>
    <xf borderId="0" fillId="0" fontId="1" numFmtId="2" xfId="0" applyFont="1" applyNumberFormat="1"/>
    <xf borderId="3" fillId="0" fontId="4" numFmtId="2" xfId="0" applyBorder="1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6.33"/>
    <col customWidth="1" min="6" max="10" width="10.56"/>
    <col customWidth="1" min="11" max="11" width="12.78"/>
    <col customWidth="1" min="12" max="14" width="10.56"/>
    <col customWidth="1" min="15" max="15" width="14.44"/>
    <col customWidth="1" min="16" max="16" width="23.44"/>
    <col customWidth="1" min="17" max="17" width="10.56"/>
    <col customWidth="1" min="18" max="18" width="17.44"/>
    <col customWidth="1" min="19" max="19" width="10.56"/>
    <col customWidth="1" min="20" max="20" width="17.0"/>
    <col customWidth="1" min="21" max="21" width="19.33"/>
    <col customWidth="1" min="22" max="22" width="10.56"/>
    <col customWidth="1" min="23" max="23" width="12.78"/>
    <col customWidth="1" min="24" max="24" width="19.78"/>
    <col customWidth="1" min="25" max="25" width="11.0"/>
    <col customWidth="1" min="26" max="26" width="8.44"/>
    <col customWidth="1" min="27" max="27" width="8.78"/>
    <col customWidth="1" min="28" max="28" width="12.44"/>
    <col customWidth="1" min="29" max="29" width="10.56"/>
    <col customWidth="1" min="30" max="30" width="15.33"/>
    <col customWidth="1" min="31" max="31" width="21.78"/>
    <col customWidth="1" min="32" max="33" width="10.56"/>
    <col customWidth="1" min="34" max="34" width="16.33"/>
    <col customWidth="1" min="35" max="35" width="19.78"/>
    <col customWidth="1" min="36" max="36" width="10.56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T2" s="1" t="s">
        <v>17</v>
      </c>
      <c r="W2" s="1" t="s">
        <v>7</v>
      </c>
      <c r="X2" s="1" t="s">
        <v>6</v>
      </c>
      <c r="Y2" s="1" t="s">
        <v>18</v>
      </c>
      <c r="Z2" s="2" t="s">
        <v>19</v>
      </c>
      <c r="AA2" s="3" t="s">
        <v>20</v>
      </c>
      <c r="AB2" s="4" t="s">
        <v>0</v>
      </c>
      <c r="AC2" s="1" t="s">
        <v>21</v>
      </c>
      <c r="AD2" s="1" t="s">
        <v>22</v>
      </c>
      <c r="AE2" s="1" t="s">
        <v>23</v>
      </c>
      <c r="AF2" s="1" t="s">
        <v>24</v>
      </c>
    </row>
    <row r="3" ht="15.75" customHeight="1">
      <c r="D3" s="5">
        <v>2.0</v>
      </c>
      <c r="J3" s="5">
        <f t="shared" ref="J3:J269" si="1">F3/100</f>
        <v>0</v>
      </c>
      <c r="L3" s="6">
        <v>42952.0</v>
      </c>
      <c r="M3" s="7">
        <v>0.4798611111111111</v>
      </c>
      <c r="N3" s="7">
        <v>0.4875</v>
      </c>
      <c r="O3" s="8" t="s">
        <v>25</v>
      </c>
      <c r="P3" s="8" t="s">
        <v>26</v>
      </c>
      <c r="Q3" s="5" t="s">
        <v>27</v>
      </c>
      <c r="R3" s="9">
        <f t="shared" ref="R3:R105" si="2">N3-M3</f>
        <v>0.007638888889</v>
      </c>
      <c r="T3" s="10">
        <f>SUM(C3:C269)</f>
        <v>91</v>
      </c>
      <c r="W3" s="11" t="s">
        <v>28</v>
      </c>
      <c r="X3" s="5" t="s">
        <v>29</v>
      </c>
      <c r="Y3" s="5" t="s">
        <v>30</v>
      </c>
      <c r="Z3" s="12">
        <v>2.0</v>
      </c>
      <c r="AA3" s="13">
        <v>1.0</v>
      </c>
      <c r="AB3" s="14" t="s">
        <v>31</v>
      </c>
      <c r="AC3" s="15">
        <f>SUM(C9:C105)</f>
        <v>24</v>
      </c>
      <c r="AD3" s="15">
        <f t="array" ref="AD3">_xlfn.MODE.MULT(E9:E105)</f>
        <v>1</v>
      </c>
      <c r="AE3" s="16">
        <f t="array" ref="AE3">_xlfn.MODE.MULT(I9:I105)</f>
        <v>1</v>
      </c>
      <c r="AF3" s="15">
        <f t="array" ref="AF3">_xlfn.MODE.MULT(H9:H105)</f>
        <v>4</v>
      </c>
      <c r="AH3" s="1"/>
      <c r="AI3" s="1"/>
      <c r="AJ3" s="1"/>
    </row>
    <row r="4" ht="15.75" customHeight="1">
      <c r="D4" s="5">
        <v>1.0</v>
      </c>
      <c r="J4" s="5">
        <f t="shared" si="1"/>
        <v>0</v>
      </c>
      <c r="L4" s="6">
        <v>42952.0</v>
      </c>
      <c r="M4" s="9">
        <v>0.48819444444444443</v>
      </c>
      <c r="N4" s="9">
        <v>0.49722222222222223</v>
      </c>
      <c r="O4" s="5" t="s">
        <v>25</v>
      </c>
      <c r="Q4" s="5" t="s">
        <v>27</v>
      </c>
      <c r="R4" s="9">
        <f t="shared" si="2"/>
        <v>0.009027777778</v>
      </c>
      <c r="W4" s="5" t="s">
        <v>32</v>
      </c>
      <c r="X4" s="5" t="s">
        <v>33</v>
      </c>
      <c r="Y4" s="5" t="s">
        <v>34</v>
      </c>
      <c r="Z4" s="12">
        <v>5.0</v>
      </c>
      <c r="AA4" s="13">
        <v>3.0</v>
      </c>
      <c r="AB4" s="17" t="s">
        <v>35</v>
      </c>
      <c r="AC4" s="18">
        <f>SUM(C106:C269)</f>
        <v>67</v>
      </c>
      <c r="AD4" s="18">
        <f t="array" ref="AD4">_xlfn.MODE.MULT(E106:E269)</f>
        <v>1</v>
      </c>
      <c r="AE4" s="18">
        <f t="array" ref="AE4">_xlfn.MODE.MULT(I106:I269)</f>
        <v>1</v>
      </c>
      <c r="AF4" s="18">
        <f t="array" ref="AF4">_xlfn.MODE.MULT(H106:H269)</f>
        <v>5</v>
      </c>
    </row>
    <row r="5" ht="15.75" customHeight="1">
      <c r="D5" s="5">
        <v>3.0</v>
      </c>
      <c r="J5" s="5">
        <f t="shared" si="1"/>
        <v>0</v>
      </c>
      <c r="L5" s="6">
        <v>42952.0</v>
      </c>
      <c r="M5" s="9">
        <v>0.4993055555555555</v>
      </c>
      <c r="N5" s="9">
        <v>0.5083333333333333</v>
      </c>
      <c r="O5" s="5" t="s">
        <v>25</v>
      </c>
      <c r="Q5" s="5" t="s">
        <v>27</v>
      </c>
      <c r="R5" s="9">
        <f t="shared" si="2"/>
        <v>0.009027777778</v>
      </c>
      <c r="T5" s="1" t="s">
        <v>36</v>
      </c>
      <c r="W5" s="5" t="s">
        <v>37</v>
      </c>
      <c r="X5" s="5" t="s">
        <v>38</v>
      </c>
      <c r="Y5" s="5" t="s">
        <v>39</v>
      </c>
      <c r="Z5" s="12">
        <v>6.0</v>
      </c>
      <c r="AA5" s="13">
        <v>4.0</v>
      </c>
    </row>
    <row r="6" ht="15.75" customHeight="1">
      <c r="D6" s="5">
        <v>4.0</v>
      </c>
      <c r="J6" s="5">
        <f t="shared" si="1"/>
        <v>0</v>
      </c>
      <c r="L6" s="6">
        <v>42952.0</v>
      </c>
      <c r="M6" s="9">
        <v>0.5131944444444444</v>
      </c>
      <c r="N6" s="9">
        <v>0.5187499999999999</v>
      </c>
      <c r="O6" s="5" t="s">
        <v>25</v>
      </c>
      <c r="Q6" s="5" t="s">
        <v>40</v>
      </c>
      <c r="R6" s="9">
        <f t="shared" si="2"/>
        <v>0.005555555556</v>
      </c>
      <c r="T6" s="5">
        <f t="array" ref="T6">_xlfn.MODE.MULT(E3:E269)</f>
        <v>1</v>
      </c>
      <c r="W6" s="5" t="s">
        <v>41</v>
      </c>
      <c r="X6" s="5" t="s">
        <v>42</v>
      </c>
      <c r="Z6" s="12">
        <v>7.0</v>
      </c>
      <c r="AA6" s="13">
        <v>10.0</v>
      </c>
    </row>
    <row r="7" ht="15.75" customHeight="1">
      <c r="D7" s="5">
        <v>5.0</v>
      </c>
      <c r="J7" s="5">
        <f t="shared" si="1"/>
        <v>0</v>
      </c>
      <c r="L7" s="6">
        <v>42952.0</v>
      </c>
      <c r="M7" s="9">
        <v>0.5229166666666667</v>
      </c>
      <c r="N7" s="9">
        <v>0.5291666666666667</v>
      </c>
      <c r="O7" s="5" t="s">
        <v>25</v>
      </c>
      <c r="P7" s="5" t="s">
        <v>43</v>
      </c>
      <c r="Q7" s="5" t="s">
        <v>27</v>
      </c>
      <c r="R7" s="9">
        <f t="shared" si="2"/>
        <v>0.00625</v>
      </c>
      <c r="U7" s="9"/>
      <c r="W7" s="5" t="s">
        <v>44</v>
      </c>
      <c r="X7" s="5" t="s">
        <v>45</v>
      </c>
      <c r="Z7" s="12">
        <v>8.0</v>
      </c>
      <c r="AA7" s="13">
        <v>11.0</v>
      </c>
    </row>
    <row r="8" ht="15.75" customHeight="1">
      <c r="D8" s="5">
        <v>6.0</v>
      </c>
      <c r="J8" s="5">
        <f t="shared" si="1"/>
        <v>0</v>
      </c>
      <c r="L8" s="6">
        <v>42952.0</v>
      </c>
      <c r="M8" s="9">
        <v>0.5319444444444444</v>
      </c>
      <c r="N8" s="9">
        <v>0.5381944444444444</v>
      </c>
      <c r="O8" s="5" t="s">
        <v>25</v>
      </c>
      <c r="P8" s="5" t="s">
        <v>43</v>
      </c>
      <c r="Q8" s="5" t="s">
        <v>27</v>
      </c>
      <c r="R8" s="9">
        <f t="shared" si="2"/>
        <v>0.00625</v>
      </c>
      <c r="T8" s="1" t="s">
        <v>46</v>
      </c>
      <c r="U8" s="9"/>
      <c r="X8" s="5" t="s">
        <v>47</v>
      </c>
      <c r="Z8" s="12">
        <v>9.0</v>
      </c>
      <c r="AA8" s="13">
        <v>12.0</v>
      </c>
    </row>
    <row r="9" ht="15.75" customHeight="1">
      <c r="B9" s="5" t="s">
        <v>48</v>
      </c>
      <c r="C9" s="5">
        <v>1.0</v>
      </c>
      <c r="D9" s="11">
        <v>7.0</v>
      </c>
      <c r="E9" s="5">
        <v>1.0</v>
      </c>
      <c r="F9" s="5">
        <v>1000.0</v>
      </c>
      <c r="G9" s="5">
        <v>300.0</v>
      </c>
      <c r="H9" s="5">
        <v>2.0</v>
      </c>
      <c r="I9" s="5">
        <v>1.0</v>
      </c>
      <c r="J9" s="5">
        <f t="shared" si="1"/>
        <v>10</v>
      </c>
      <c r="L9" s="6">
        <v>42952.0</v>
      </c>
      <c r="M9" s="9">
        <v>0.5423611111111112</v>
      </c>
      <c r="N9" s="9">
        <v>0.548611111111111</v>
      </c>
      <c r="O9" s="5" t="s">
        <v>25</v>
      </c>
      <c r="Q9" s="5" t="s">
        <v>40</v>
      </c>
      <c r="R9" s="9">
        <f t="shared" si="2"/>
        <v>0.00625</v>
      </c>
      <c r="T9" s="5">
        <f t="array" ref="T9">_xlfn.MODE.MULT(I3:I269)</f>
        <v>1</v>
      </c>
      <c r="X9" s="5" t="s">
        <v>49</v>
      </c>
    </row>
    <row r="10" ht="15.75" customHeight="1">
      <c r="B10" s="5" t="s">
        <v>48</v>
      </c>
      <c r="C10" s="5">
        <v>1.0</v>
      </c>
      <c r="D10" s="11">
        <v>8.0</v>
      </c>
      <c r="E10" s="5">
        <v>1.0</v>
      </c>
      <c r="F10" s="5">
        <v>478.0</v>
      </c>
      <c r="G10" s="5">
        <v>600.0</v>
      </c>
      <c r="H10" s="5">
        <v>4.0</v>
      </c>
      <c r="I10" s="5">
        <v>1.0</v>
      </c>
      <c r="J10" s="5">
        <f t="shared" si="1"/>
        <v>4.78</v>
      </c>
      <c r="L10" s="6">
        <v>42952.0</v>
      </c>
      <c r="M10" s="9">
        <v>0.5499999999999999</v>
      </c>
      <c r="N10" s="9">
        <v>0.5569444444444445</v>
      </c>
      <c r="O10" s="5" t="s">
        <v>25</v>
      </c>
      <c r="Q10" s="5" t="s">
        <v>40</v>
      </c>
      <c r="R10" s="9">
        <f t="shared" si="2"/>
        <v>0.006944444444</v>
      </c>
      <c r="X10" s="5" t="s">
        <v>50</v>
      </c>
      <c r="Y10" s="6"/>
      <c r="Z10" s="9"/>
      <c r="AA10" s="9"/>
    </row>
    <row r="11" ht="15.75" customHeight="1">
      <c r="B11" s="5" t="s">
        <v>48</v>
      </c>
      <c r="C11" s="5">
        <v>1.0</v>
      </c>
      <c r="D11" s="11">
        <v>8.0</v>
      </c>
      <c r="E11" s="5">
        <v>1.0</v>
      </c>
      <c r="F11" s="5">
        <v>448.0</v>
      </c>
      <c r="G11" s="5">
        <v>700.0</v>
      </c>
      <c r="H11" s="5">
        <v>4.0</v>
      </c>
      <c r="I11" s="5">
        <v>1.0</v>
      </c>
      <c r="J11" s="5">
        <f t="shared" si="1"/>
        <v>4.48</v>
      </c>
      <c r="L11" s="6">
        <v>42952.0</v>
      </c>
      <c r="M11" s="9"/>
      <c r="N11" s="9"/>
      <c r="O11" s="5" t="s">
        <v>25</v>
      </c>
      <c r="R11" s="9">
        <f t="shared" si="2"/>
        <v>0</v>
      </c>
      <c r="T11" s="1" t="s">
        <v>51</v>
      </c>
      <c r="AA11" s="6"/>
      <c r="AB11" s="9"/>
      <c r="AC11" s="9"/>
    </row>
    <row r="12" ht="15.75" customHeight="1">
      <c r="D12" s="11">
        <v>10.0</v>
      </c>
      <c r="J12" s="5">
        <f t="shared" si="1"/>
        <v>0</v>
      </c>
      <c r="L12" s="6">
        <v>42952.0</v>
      </c>
      <c r="M12" s="9">
        <v>0.5645833333333333</v>
      </c>
      <c r="N12" s="9">
        <v>0.5708333333333333</v>
      </c>
      <c r="O12" s="5" t="s">
        <v>25</v>
      </c>
      <c r="Q12" s="5" t="s">
        <v>40</v>
      </c>
      <c r="R12" s="9">
        <f t="shared" si="2"/>
        <v>0.00625</v>
      </c>
      <c r="T12" s="5">
        <f t="array" ref="T12">_xlfn.MODE.MULT(H3:H269)</f>
        <v>5</v>
      </c>
      <c r="AA12" s="6"/>
      <c r="AB12" s="9"/>
      <c r="AC12" s="9"/>
    </row>
    <row r="13" ht="15.75" customHeight="1">
      <c r="B13" s="5" t="s">
        <v>48</v>
      </c>
      <c r="C13" s="5">
        <v>1.0</v>
      </c>
      <c r="D13" s="11">
        <v>9.0</v>
      </c>
      <c r="E13" s="5">
        <v>1.0</v>
      </c>
      <c r="F13" s="5">
        <v>530.0</v>
      </c>
      <c r="G13" s="5">
        <v>600.0</v>
      </c>
      <c r="H13" s="5">
        <v>4.0</v>
      </c>
      <c r="I13" s="5">
        <v>1.0</v>
      </c>
      <c r="J13" s="5">
        <f t="shared" si="1"/>
        <v>5.3</v>
      </c>
      <c r="K13" s="5" t="s">
        <v>52</v>
      </c>
      <c r="L13" s="6">
        <v>42952.0</v>
      </c>
      <c r="M13" s="9">
        <v>0.5777777777777778</v>
      </c>
      <c r="N13" s="9">
        <v>0.5881944444444445</v>
      </c>
      <c r="O13" s="5" t="s">
        <v>25</v>
      </c>
      <c r="Q13" s="5" t="s">
        <v>40</v>
      </c>
      <c r="R13" s="9">
        <f t="shared" si="2"/>
        <v>0.01041666667</v>
      </c>
      <c r="T13" s="1"/>
      <c r="U13" s="1"/>
      <c r="AA13" s="6"/>
      <c r="AB13" s="9"/>
      <c r="AC13" s="9"/>
      <c r="AH13" s="1"/>
      <c r="AI13" s="1"/>
    </row>
    <row r="14" ht="15.75" customHeight="1">
      <c r="B14" s="5" t="s">
        <v>48</v>
      </c>
      <c r="C14" s="5">
        <v>1.0</v>
      </c>
      <c r="D14" s="11">
        <v>9.0</v>
      </c>
      <c r="E14" s="5">
        <v>1.0</v>
      </c>
      <c r="F14" s="5">
        <v>136.0</v>
      </c>
      <c r="G14" s="5">
        <v>500.0</v>
      </c>
      <c r="H14" s="5">
        <v>4.0</v>
      </c>
      <c r="I14" s="5">
        <v>5.0</v>
      </c>
      <c r="J14" s="5">
        <f t="shared" si="1"/>
        <v>1.36</v>
      </c>
      <c r="L14" s="6">
        <v>42952.0</v>
      </c>
      <c r="M14" s="9"/>
      <c r="N14" s="9"/>
      <c r="O14" s="5" t="s">
        <v>25</v>
      </c>
      <c r="R14" s="9">
        <f t="shared" si="2"/>
        <v>0</v>
      </c>
      <c r="T14" s="1" t="s">
        <v>53</v>
      </c>
      <c r="U14" s="1" t="s">
        <v>54</v>
      </c>
      <c r="AA14" s="6"/>
      <c r="AB14" s="7"/>
      <c r="AC14" s="7"/>
      <c r="AD14" s="8"/>
    </row>
    <row r="15" ht="15.75" customHeight="1">
      <c r="B15" s="5" t="s">
        <v>48</v>
      </c>
      <c r="C15" s="5">
        <v>1.0</v>
      </c>
      <c r="D15" s="11">
        <v>9.0</v>
      </c>
      <c r="E15" s="5">
        <v>2.0</v>
      </c>
      <c r="F15" s="5">
        <v>435.0</v>
      </c>
      <c r="G15" s="5">
        <v>198.0</v>
      </c>
      <c r="H15" s="5">
        <v>2.0</v>
      </c>
      <c r="I15" s="5">
        <v>1.0</v>
      </c>
      <c r="J15" s="5">
        <f t="shared" si="1"/>
        <v>4.35</v>
      </c>
      <c r="L15" s="6">
        <v>42952.0</v>
      </c>
      <c r="M15" s="9"/>
      <c r="N15" s="9"/>
      <c r="O15" s="5" t="s">
        <v>25</v>
      </c>
      <c r="R15" s="9">
        <f t="shared" si="2"/>
        <v>0</v>
      </c>
      <c r="T15" s="19">
        <f>SUM(R3:R269)</f>
        <v>11.84666667</v>
      </c>
      <c r="U15" s="20">
        <v>3.37</v>
      </c>
      <c r="AA15" s="6"/>
      <c r="AB15" s="7"/>
      <c r="AC15" s="7"/>
      <c r="AD15" s="8"/>
    </row>
    <row r="16" ht="15.75" customHeight="1">
      <c r="B16" s="5" t="s">
        <v>48</v>
      </c>
      <c r="C16" s="5">
        <v>1.0</v>
      </c>
      <c r="D16" s="11">
        <v>9.0</v>
      </c>
      <c r="E16" s="5">
        <v>1.0</v>
      </c>
      <c r="F16" s="5">
        <v>173.0</v>
      </c>
      <c r="G16" s="5">
        <v>600.0</v>
      </c>
      <c r="H16" s="5">
        <v>4.0</v>
      </c>
      <c r="I16" s="5">
        <v>1.0</v>
      </c>
      <c r="J16" s="5">
        <f t="shared" si="1"/>
        <v>1.73</v>
      </c>
      <c r="K16" s="5" t="s">
        <v>55</v>
      </c>
      <c r="L16" s="6">
        <v>42952.0</v>
      </c>
      <c r="M16" s="9"/>
      <c r="N16" s="9"/>
      <c r="O16" s="5" t="s">
        <v>25</v>
      </c>
      <c r="R16" s="9">
        <f t="shared" si="2"/>
        <v>0</v>
      </c>
      <c r="T16" s="9"/>
      <c r="U16" s="11">
        <v>2.0</v>
      </c>
      <c r="V16" s="1"/>
      <c r="W16" s="1"/>
      <c r="X16" s="1"/>
      <c r="AA16" s="6"/>
      <c r="AB16" s="9"/>
      <c r="AC16" s="9"/>
    </row>
    <row r="17" ht="15.75" customHeight="1">
      <c r="D17" s="11">
        <v>12.0</v>
      </c>
      <c r="J17" s="5">
        <f t="shared" si="1"/>
        <v>0</v>
      </c>
      <c r="L17" s="6">
        <v>42952.0</v>
      </c>
      <c r="M17" s="9">
        <v>0.5902777777777778</v>
      </c>
      <c r="N17" s="9">
        <v>0.5979166666666667</v>
      </c>
      <c r="O17" s="5" t="s">
        <v>25</v>
      </c>
      <c r="Q17" s="5" t="s">
        <v>40</v>
      </c>
      <c r="R17" s="9">
        <f t="shared" si="2"/>
        <v>0.007638888889</v>
      </c>
      <c r="T17" s="21" t="s">
        <v>56</v>
      </c>
      <c r="U17" s="5">
        <v>2.25</v>
      </c>
      <c r="AA17" s="6"/>
      <c r="AB17" s="7"/>
      <c r="AC17" s="7"/>
      <c r="AD17" s="8"/>
    </row>
    <row r="18" ht="15.75" customHeight="1">
      <c r="B18" s="22"/>
      <c r="C18" s="22"/>
      <c r="D18" s="22">
        <v>11.0</v>
      </c>
      <c r="E18" s="22"/>
      <c r="F18" s="22"/>
      <c r="G18" s="22"/>
      <c r="H18" s="22"/>
      <c r="I18" s="22"/>
      <c r="J18" s="5">
        <f t="shared" si="1"/>
        <v>0</v>
      </c>
      <c r="K18" s="22"/>
      <c r="L18" s="23">
        <v>43317.0</v>
      </c>
      <c r="M18" s="24">
        <v>0.6020833333333333</v>
      </c>
      <c r="N18" s="24">
        <v>0.6097222222222222</v>
      </c>
      <c r="O18" s="25" t="s">
        <v>25</v>
      </c>
      <c r="P18" s="22"/>
      <c r="Q18" s="22" t="s">
        <v>27</v>
      </c>
      <c r="R18" s="9">
        <f t="shared" si="2"/>
        <v>0.007638888889</v>
      </c>
      <c r="T18" s="26">
        <v>20.19</v>
      </c>
      <c r="U18" s="5">
        <v>2.34</v>
      </c>
      <c r="AA18" s="6"/>
      <c r="AB18" s="7"/>
      <c r="AC18" s="7"/>
      <c r="AD18" s="8"/>
    </row>
    <row r="19" ht="15.75" customHeight="1">
      <c r="D19" s="11">
        <v>2.0</v>
      </c>
      <c r="J19" s="5">
        <f t="shared" si="1"/>
        <v>0</v>
      </c>
      <c r="L19" s="27">
        <v>43036.0</v>
      </c>
      <c r="M19" s="7">
        <v>0.5159722222222222</v>
      </c>
      <c r="N19" s="7">
        <v>0.525</v>
      </c>
      <c r="O19" s="8" t="s">
        <v>25</v>
      </c>
      <c r="P19" s="8" t="s">
        <v>26</v>
      </c>
      <c r="R19" s="9">
        <f t="shared" si="2"/>
        <v>0.009027777778</v>
      </c>
      <c r="T19" s="26">
        <v>19.55</v>
      </c>
      <c r="U19" s="5">
        <v>2.06</v>
      </c>
      <c r="AA19" s="6"/>
      <c r="AB19" s="7"/>
      <c r="AC19" s="7"/>
      <c r="AD19" s="8"/>
    </row>
    <row r="20" ht="15.75" customHeight="1">
      <c r="B20" s="5" t="s">
        <v>48</v>
      </c>
      <c r="C20" s="5">
        <v>1.0</v>
      </c>
      <c r="D20" s="13">
        <v>1.0</v>
      </c>
      <c r="E20" s="5">
        <v>1.0</v>
      </c>
      <c r="F20" s="5">
        <v>591.0</v>
      </c>
      <c r="G20" s="5">
        <v>226.0</v>
      </c>
      <c r="H20" s="5">
        <v>1.0</v>
      </c>
      <c r="I20" s="5">
        <v>3.0</v>
      </c>
      <c r="J20" s="5">
        <f t="shared" si="1"/>
        <v>5.91</v>
      </c>
      <c r="K20" s="5" t="s">
        <v>57</v>
      </c>
      <c r="L20" s="27">
        <v>43036.0</v>
      </c>
      <c r="M20" s="7">
        <v>0.5256944444444445</v>
      </c>
      <c r="N20" s="7">
        <v>0.5319444444444444</v>
      </c>
      <c r="O20" s="8" t="s">
        <v>25</v>
      </c>
      <c r="P20" s="8" t="s">
        <v>26</v>
      </c>
      <c r="R20" s="9">
        <f t="shared" si="2"/>
        <v>0.00625</v>
      </c>
      <c r="T20" s="26">
        <v>18.16</v>
      </c>
      <c r="U20" s="5">
        <v>2.14</v>
      </c>
      <c r="AA20" s="6"/>
      <c r="AB20" s="9"/>
      <c r="AC20" s="9"/>
      <c r="AD20" s="8"/>
    </row>
    <row r="21" ht="15.75" customHeight="1">
      <c r="B21" s="5" t="s">
        <v>48</v>
      </c>
      <c r="C21" s="5">
        <v>1.0</v>
      </c>
      <c r="D21" s="13">
        <v>1.0</v>
      </c>
      <c r="E21" s="5">
        <v>1.0</v>
      </c>
      <c r="F21" s="5">
        <v>591.0</v>
      </c>
      <c r="G21" s="5">
        <v>226.0</v>
      </c>
      <c r="H21" s="5">
        <v>1.0</v>
      </c>
      <c r="I21" s="5">
        <v>3.0</v>
      </c>
      <c r="J21" s="5">
        <f t="shared" si="1"/>
        <v>5.91</v>
      </c>
      <c r="K21" s="5" t="s">
        <v>55</v>
      </c>
      <c r="L21" s="27">
        <v>43036.0</v>
      </c>
      <c r="M21" s="7"/>
      <c r="N21" s="7"/>
      <c r="O21" s="8" t="s">
        <v>25</v>
      </c>
      <c r="P21" s="8" t="s">
        <v>26</v>
      </c>
      <c r="R21" s="9">
        <f t="shared" si="2"/>
        <v>0</v>
      </c>
      <c r="T21" s="28">
        <f>SUM(T18:T20)</f>
        <v>57.9</v>
      </c>
      <c r="U21" s="5">
        <v>1.5</v>
      </c>
      <c r="AA21" s="6"/>
      <c r="AB21" s="9"/>
      <c r="AC21" s="9"/>
      <c r="AD21" s="8"/>
    </row>
    <row r="22" ht="15.75" customHeight="1">
      <c r="D22" s="11">
        <v>3.0</v>
      </c>
      <c r="J22" s="5">
        <f t="shared" si="1"/>
        <v>0</v>
      </c>
      <c r="L22" s="27">
        <v>43036.0</v>
      </c>
      <c r="M22" s="9">
        <v>0.5340277777777778</v>
      </c>
      <c r="N22" s="9">
        <v>0.5395833333333333</v>
      </c>
      <c r="O22" s="8" t="s">
        <v>25</v>
      </c>
      <c r="R22" s="9">
        <f t="shared" si="2"/>
        <v>0.005555555556</v>
      </c>
      <c r="U22" s="5">
        <v>2.0</v>
      </c>
      <c r="AA22" s="27"/>
      <c r="AB22" s="7"/>
      <c r="AC22" s="7"/>
      <c r="AD22" s="8"/>
      <c r="AE22" s="8"/>
    </row>
    <row r="23" ht="15.75" customHeight="1">
      <c r="D23" s="11">
        <v>4.0</v>
      </c>
      <c r="J23" s="5">
        <f t="shared" si="1"/>
        <v>0</v>
      </c>
      <c r="L23" s="27">
        <v>43036.0</v>
      </c>
      <c r="M23" s="7">
        <v>0.5409722222222222</v>
      </c>
      <c r="N23" s="7">
        <v>0.5465277777777778</v>
      </c>
      <c r="O23" s="8" t="s">
        <v>25</v>
      </c>
      <c r="R23" s="9">
        <f t="shared" si="2"/>
        <v>0.005555555556</v>
      </c>
      <c r="T23" s="4" t="s">
        <v>58</v>
      </c>
      <c r="AA23" s="27"/>
      <c r="AB23" s="7"/>
      <c r="AC23" s="7"/>
      <c r="AD23" s="8"/>
      <c r="AE23" s="8"/>
    </row>
    <row r="24" ht="15.75" customHeight="1">
      <c r="D24" s="11">
        <v>5.0</v>
      </c>
      <c r="J24" s="5">
        <f t="shared" si="1"/>
        <v>0</v>
      </c>
      <c r="L24" s="27">
        <v>43036.0</v>
      </c>
      <c r="M24" s="9">
        <v>0.5479166666666667</v>
      </c>
      <c r="N24" s="9">
        <v>0.5527777777777778</v>
      </c>
      <c r="O24" s="8" t="s">
        <v>25</v>
      </c>
      <c r="P24" s="8" t="s">
        <v>59</v>
      </c>
      <c r="R24" s="9">
        <f t="shared" si="2"/>
        <v>0.004861111111</v>
      </c>
      <c r="T24" s="10" t="s">
        <v>60</v>
      </c>
      <c r="AA24" s="27"/>
      <c r="AB24" s="7"/>
      <c r="AC24" s="7"/>
      <c r="AD24" s="8"/>
      <c r="AE24" s="8"/>
    </row>
    <row r="25" ht="15.75" customHeight="1">
      <c r="D25" s="11">
        <v>6.0</v>
      </c>
      <c r="J25" s="5">
        <f t="shared" si="1"/>
        <v>0</v>
      </c>
      <c r="L25" s="27">
        <v>43036.0</v>
      </c>
      <c r="M25" s="9">
        <v>0.55625</v>
      </c>
      <c r="N25" s="9">
        <v>0.5590277777777778</v>
      </c>
      <c r="O25" s="8" t="s">
        <v>25</v>
      </c>
      <c r="P25" s="8" t="s">
        <v>59</v>
      </c>
      <c r="R25" s="9">
        <f t="shared" si="2"/>
        <v>0.002777777778</v>
      </c>
      <c r="AA25" s="27"/>
      <c r="AB25" s="9"/>
      <c r="AC25" s="9"/>
      <c r="AD25" s="8"/>
      <c r="AE25" s="8"/>
    </row>
    <row r="26" ht="15.75" customHeight="1">
      <c r="B26" s="5" t="s">
        <v>48</v>
      </c>
      <c r="C26" s="5">
        <v>1.0</v>
      </c>
      <c r="D26" s="11">
        <v>7.0</v>
      </c>
      <c r="E26" s="5">
        <v>1.0</v>
      </c>
      <c r="F26" s="5">
        <v>495.0</v>
      </c>
      <c r="G26" s="5">
        <v>382.0</v>
      </c>
      <c r="H26" s="5">
        <v>4.0</v>
      </c>
      <c r="I26" s="5">
        <v>1.0</v>
      </c>
      <c r="J26" s="5">
        <f t="shared" si="1"/>
        <v>4.95</v>
      </c>
      <c r="L26" s="27">
        <v>43036.0</v>
      </c>
      <c r="M26" s="9">
        <v>0.5597222222222222</v>
      </c>
      <c r="N26" s="9">
        <v>0.5638888888888889</v>
      </c>
      <c r="O26" s="8" t="s">
        <v>25</v>
      </c>
      <c r="P26" s="8" t="s">
        <v>61</v>
      </c>
      <c r="R26" s="9">
        <f t="shared" si="2"/>
        <v>0.004166666667</v>
      </c>
      <c r="AA26" s="27"/>
      <c r="AB26" s="9"/>
      <c r="AC26" s="9"/>
      <c r="AD26" s="8"/>
      <c r="AE26" s="8"/>
    </row>
    <row r="27" ht="15.75" customHeight="1">
      <c r="D27" s="11">
        <v>8.0</v>
      </c>
      <c r="J27" s="5">
        <f t="shared" si="1"/>
        <v>0</v>
      </c>
      <c r="L27" s="27">
        <v>43036.0</v>
      </c>
      <c r="M27" s="9">
        <v>0.5638888888888889</v>
      </c>
      <c r="N27" s="9">
        <v>0.5694444444444444</v>
      </c>
      <c r="O27" s="8" t="s">
        <v>25</v>
      </c>
      <c r="P27" s="8" t="s">
        <v>62</v>
      </c>
      <c r="R27" s="9">
        <f t="shared" si="2"/>
        <v>0.005555555556</v>
      </c>
      <c r="AA27" s="27"/>
      <c r="AB27" s="9"/>
      <c r="AC27" s="9"/>
      <c r="AD27" s="8"/>
      <c r="AE27" s="8"/>
    </row>
    <row r="28" ht="15.75" customHeight="1">
      <c r="D28" s="11">
        <v>10.0</v>
      </c>
      <c r="J28" s="5">
        <f t="shared" si="1"/>
        <v>0</v>
      </c>
      <c r="L28" s="27">
        <v>43036.0</v>
      </c>
      <c r="M28" s="9">
        <v>0.5715277777777777</v>
      </c>
      <c r="N28" s="9">
        <v>0.5770833333333333</v>
      </c>
      <c r="O28" s="8" t="s">
        <v>25</v>
      </c>
      <c r="P28" s="8" t="s">
        <v>59</v>
      </c>
      <c r="R28" s="9">
        <f t="shared" si="2"/>
        <v>0.005555555556</v>
      </c>
      <c r="AA28" s="27"/>
      <c r="AB28" s="9"/>
      <c r="AC28" s="9"/>
      <c r="AD28" s="8"/>
      <c r="AE28" s="8"/>
    </row>
    <row r="29" ht="15.75" customHeight="1">
      <c r="D29" s="11">
        <v>9.0</v>
      </c>
      <c r="J29" s="5">
        <f t="shared" si="1"/>
        <v>0</v>
      </c>
      <c r="L29" s="27">
        <v>43036.0</v>
      </c>
      <c r="M29" s="7">
        <v>0.5791666666666667</v>
      </c>
      <c r="N29" s="7">
        <v>0.5840277777777778</v>
      </c>
      <c r="O29" s="8" t="s">
        <v>25</v>
      </c>
      <c r="P29" s="8" t="s">
        <v>63</v>
      </c>
      <c r="R29" s="9">
        <f t="shared" si="2"/>
        <v>0.004861111111</v>
      </c>
      <c r="AA29" s="27"/>
      <c r="AB29" s="9"/>
      <c r="AC29" s="9"/>
      <c r="AD29" s="8"/>
      <c r="AE29" s="8"/>
    </row>
    <row r="30" ht="15.75" customHeight="1">
      <c r="D30" s="11">
        <v>12.0</v>
      </c>
      <c r="J30" s="5">
        <f t="shared" si="1"/>
        <v>0</v>
      </c>
      <c r="L30" s="27">
        <v>43036.0</v>
      </c>
      <c r="M30" s="9">
        <v>0.5861111111111111</v>
      </c>
      <c r="N30" s="9">
        <v>0.5930555555555556</v>
      </c>
      <c r="O30" s="8" t="s">
        <v>25</v>
      </c>
      <c r="R30" s="9">
        <f t="shared" si="2"/>
        <v>0.006944444444</v>
      </c>
      <c r="AA30" s="27"/>
      <c r="AB30" s="7"/>
      <c r="AC30" s="7"/>
      <c r="AD30" s="8"/>
    </row>
    <row r="31" ht="15.75" customHeight="1">
      <c r="B31" s="22"/>
      <c r="C31" s="22"/>
      <c r="D31" s="22">
        <v>11.0</v>
      </c>
      <c r="E31" s="22"/>
      <c r="F31" s="22"/>
      <c r="G31" s="22"/>
      <c r="H31" s="22"/>
      <c r="I31" s="22"/>
      <c r="J31" s="5">
        <f t="shared" si="1"/>
        <v>0</v>
      </c>
      <c r="K31" s="22"/>
      <c r="L31" s="29">
        <v>43036.0</v>
      </c>
      <c r="M31" s="24">
        <v>0.5944444444444444</v>
      </c>
      <c r="N31" s="24">
        <v>0.5993055555555555</v>
      </c>
      <c r="O31" s="25" t="s">
        <v>25</v>
      </c>
      <c r="P31" s="22"/>
      <c r="R31" s="9">
        <f t="shared" si="2"/>
        <v>0.004861111111</v>
      </c>
      <c r="AA31" s="27"/>
      <c r="AB31" s="7"/>
      <c r="AC31" s="7"/>
      <c r="AD31" s="8"/>
    </row>
    <row r="32" ht="15.75" customHeight="1">
      <c r="D32" s="11">
        <v>2.0</v>
      </c>
      <c r="J32" s="5">
        <f t="shared" si="1"/>
        <v>0</v>
      </c>
      <c r="L32" s="30">
        <v>43043.0</v>
      </c>
      <c r="M32" s="9">
        <v>0.4694444444444445</v>
      </c>
      <c r="N32" s="9">
        <v>0.48125</v>
      </c>
      <c r="O32" s="8" t="s">
        <v>25</v>
      </c>
      <c r="P32" s="8" t="s">
        <v>26</v>
      </c>
      <c r="R32" s="9">
        <f t="shared" si="2"/>
        <v>0.01180555556</v>
      </c>
      <c r="AA32" s="27"/>
      <c r="AB32" s="7"/>
      <c r="AC32" s="7"/>
      <c r="AD32" s="8"/>
    </row>
    <row r="33" ht="15.75" customHeight="1">
      <c r="D33" s="11">
        <v>1.0</v>
      </c>
      <c r="J33" s="5">
        <f t="shared" si="1"/>
        <v>0</v>
      </c>
      <c r="L33" s="30">
        <v>43043.0</v>
      </c>
      <c r="M33" s="9">
        <v>0.48125</v>
      </c>
      <c r="N33" s="9">
        <v>0.48819444444444443</v>
      </c>
      <c r="O33" s="8" t="s">
        <v>25</v>
      </c>
      <c r="R33" s="9">
        <f t="shared" si="2"/>
        <v>0.006944444444</v>
      </c>
      <c r="AA33" s="27"/>
      <c r="AB33" s="9"/>
      <c r="AC33" s="9"/>
      <c r="AD33" s="8"/>
    </row>
    <row r="34" ht="15.75" customHeight="1">
      <c r="D34" s="11">
        <v>3.0</v>
      </c>
      <c r="J34" s="5">
        <f t="shared" si="1"/>
        <v>0</v>
      </c>
      <c r="L34" s="31">
        <v>43043.0</v>
      </c>
      <c r="M34" s="7">
        <v>0.4916666666666667</v>
      </c>
      <c r="N34" s="7">
        <v>0.49722222222222223</v>
      </c>
      <c r="O34" s="8" t="s">
        <v>25</v>
      </c>
      <c r="P34" s="8" t="s">
        <v>64</v>
      </c>
      <c r="R34" s="9">
        <f t="shared" si="2"/>
        <v>0.005555555556</v>
      </c>
      <c r="AA34" s="27"/>
      <c r="AB34" s="7"/>
      <c r="AC34" s="7"/>
      <c r="AD34" s="8"/>
      <c r="AE34" s="8"/>
    </row>
    <row r="35" ht="15.75" customHeight="1">
      <c r="D35" s="11">
        <v>4.0</v>
      </c>
      <c r="J35" s="5">
        <f t="shared" si="1"/>
        <v>0</v>
      </c>
      <c r="L35" s="31">
        <v>43043.0</v>
      </c>
      <c r="M35" s="9">
        <v>0.4986111111111111</v>
      </c>
      <c r="N35" s="9">
        <v>0.5034722222222222</v>
      </c>
      <c r="O35" s="8" t="s">
        <v>25</v>
      </c>
      <c r="R35" s="9">
        <f t="shared" si="2"/>
        <v>0.004861111111</v>
      </c>
      <c r="AA35" s="27"/>
      <c r="AB35" s="7"/>
      <c r="AC35" s="7"/>
      <c r="AD35" s="8"/>
      <c r="AE35" s="8"/>
    </row>
    <row r="36" ht="15.75" customHeight="1">
      <c r="D36" s="11">
        <v>5.0</v>
      </c>
      <c r="J36" s="5">
        <f t="shared" si="1"/>
        <v>0</v>
      </c>
      <c r="L36" s="31">
        <v>43043.0</v>
      </c>
      <c r="M36" s="9">
        <v>0.5055555555555555</v>
      </c>
      <c r="N36" s="9">
        <v>0.5083333333333333</v>
      </c>
      <c r="O36" s="8" t="s">
        <v>25</v>
      </c>
      <c r="R36" s="9">
        <f t="shared" si="2"/>
        <v>0.002777777778</v>
      </c>
      <c r="AA36" s="27"/>
      <c r="AB36" s="7"/>
      <c r="AC36" s="7"/>
      <c r="AD36" s="8"/>
      <c r="AE36" s="8"/>
    </row>
    <row r="37" ht="15.75" customHeight="1">
      <c r="D37" s="11">
        <v>6.0</v>
      </c>
      <c r="J37" s="5">
        <f t="shared" si="1"/>
        <v>0</v>
      </c>
      <c r="L37" s="31">
        <v>43043.0</v>
      </c>
      <c r="M37" s="9">
        <v>0.5104166666666666</v>
      </c>
      <c r="N37" s="9">
        <v>0.517361111111111</v>
      </c>
      <c r="O37" s="8" t="s">
        <v>25</v>
      </c>
      <c r="R37" s="9">
        <f t="shared" si="2"/>
        <v>0.006944444444</v>
      </c>
      <c r="AA37" s="27"/>
      <c r="AB37" s="7"/>
      <c r="AC37" s="7"/>
      <c r="AD37" s="8"/>
      <c r="AE37" s="8"/>
    </row>
    <row r="38" ht="15.75" customHeight="1">
      <c r="D38" s="11">
        <v>7.0</v>
      </c>
      <c r="J38" s="5">
        <f t="shared" si="1"/>
        <v>0</v>
      </c>
      <c r="L38" s="31">
        <v>43043.0</v>
      </c>
      <c r="M38" s="9">
        <v>0.5180555555555556</v>
      </c>
      <c r="N38" s="9">
        <v>0.5222222222222223</v>
      </c>
      <c r="O38" s="8" t="s">
        <v>25</v>
      </c>
      <c r="R38" s="9">
        <f t="shared" si="2"/>
        <v>0.004166666667</v>
      </c>
      <c r="AA38" s="27"/>
      <c r="AB38" s="7"/>
      <c r="AC38" s="7"/>
      <c r="AD38" s="8"/>
      <c r="AE38" s="8"/>
    </row>
    <row r="39" ht="15.75" customHeight="1">
      <c r="D39" s="11">
        <v>12.0</v>
      </c>
      <c r="J39" s="5">
        <f t="shared" si="1"/>
        <v>0</v>
      </c>
      <c r="L39" s="31">
        <v>43043.0</v>
      </c>
      <c r="M39" s="9">
        <v>0.5423611111111112</v>
      </c>
      <c r="N39" s="9">
        <v>0.5479166666666667</v>
      </c>
      <c r="O39" s="8" t="s">
        <v>25</v>
      </c>
      <c r="R39" s="9">
        <f t="shared" si="2"/>
        <v>0.005555555556</v>
      </c>
      <c r="AA39" s="27"/>
      <c r="AB39" s="9"/>
      <c r="AC39" s="9"/>
      <c r="AD39" s="8"/>
    </row>
    <row r="40" ht="15.75" customHeight="1">
      <c r="D40" s="11">
        <v>8.0</v>
      </c>
      <c r="J40" s="5">
        <f t="shared" si="1"/>
        <v>0</v>
      </c>
      <c r="L40" s="31">
        <v>43043.0</v>
      </c>
      <c r="M40" s="7">
        <v>0.5229166666666667</v>
      </c>
      <c r="N40" s="7">
        <v>0.5277777777777778</v>
      </c>
      <c r="O40" s="8" t="s">
        <v>25</v>
      </c>
      <c r="R40" s="9">
        <f t="shared" si="2"/>
        <v>0.004861111111</v>
      </c>
      <c r="AA40" s="27"/>
      <c r="AB40" s="7"/>
      <c r="AC40" s="7"/>
      <c r="AD40" s="8"/>
    </row>
    <row r="41" ht="15.75" customHeight="1">
      <c r="D41" s="11">
        <v>11.0</v>
      </c>
      <c r="J41" s="5">
        <f t="shared" si="1"/>
        <v>0</v>
      </c>
      <c r="L41" s="31">
        <v>43043.0</v>
      </c>
      <c r="M41" s="7">
        <v>0.5409722222222222</v>
      </c>
      <c r="N41" s="7">
        <v>0.5499999999999999</v>
      </c>
      <c r="O41" s="8" t="s">
        <v>25</v>
      </c>
      <c r="R41" s="9">
        <f t="shared" si="2"/>
        <v>0.009027777778</v>
      </c>
      <c r="AA41" s="27"/>
      <c r="AB41" s="9"/>
      <c r="AC41" s="9"/>
      <c r="AD41" s="8"/>
    </row>
    <row r="42" ht="15.75" customHeight="1">
      <c r="D42" s="11">
        <v>10.0</v>
      </c>
      <c r="J42" s="5">
        <f t="shared" si="1"/>
        <v>0</v>
      </c>
      <c r="L42" s="31">
        <v>43043.0</v>
      </c>
      <c r="M42" s="9">
        <v>0.5277777777777778</v>
      </c>
      <c r="N42" s="9">
        <v>0.5333333333333333</v>
      </c>
      <c r="O42" s="8" t="s">
        <v>25</v>
      </c>
      <c r="R42" s="9">
        <f t="shared" si="2"/>
        <v>0.005555555556</v>
      </c>
      <c r="AA42" s="27"/>
      <c r="AB42" s="7"/>
      <c r="AC42" s="7"/>
      <c r="AD42" s="8"/>
      <c r="AE42" s="8"/>
    </row>
    <row r="43" ht="15.75" customHeight="1">
      <c r="B43" s="22"/>
      <c r="C43" s="22"/>
      <c r="D43" s="22">
        <v>9.0</v>
      </c>
      <c r="E43" s="22"/>
      <c r="F43" s="22"/>
      <c r="G43" s="22"/>
      <c r="H43" s="22"/>
      <c r="I43" s="22"/>
      <c r="J43" s="5">
        <f t="shared" si="1"/>
        <v>0</v>
      </c>
      <c r="K43" s="22"/>
      <c r="L43" s="32">
        <v>43043.0</v>
      </c>
      <c r="M43" s="33">
        <v>0.5368055555555555</v>
      </c>
      <c r="N43" s="33">
        <v>0.5402777777777777</v>
      </c>
      <c r="O43" s="25" t="s">
        <v>25</v>
      </c>
      <c r="P43" s="22"/>
      <c r="R43" s="9">
        <f t="shared" si="2"/>
        <v>0.003472222222</v>
      </c>
      <c r="AA43" s="27"/>
      <c r="AB43" s="7"/>
      <c r="AC43" s="7"/>
      <c r="AD43" s="8"/>
      <c r="AE43" s="8"/>
    </row>
    <row r="44" ht="15.75" customHeight="1">
      <c r="D44" s="11">
        <v>12.0</v>
      </c>
      <c r="J44" s="5">
        <f t="shared" si="1"/>
        <v>0</v>
      </c>
      <c r="L44" s="30">
        <v>43085.0</v>
      </c>
      <c r="M44" s="9">
        <v>0.5506944444444445</v>
      </c>
      <c r="N44" s="9">
        <v>0.5569444444444445</v>
      </c>
      <c r="O44" s="8" t="s">
        <v>25</v>
      </c>
      <c r="R44" s="9">
        <f t="shared" si="2"/>
        <v>0.00625</v>
      </c>
      <c r="AA44" s="27"/>
      <c r="AB44" s="7"/>
      <c r="AC44" s="7"/>
      <c r="AD44" s="8"/>
      <c r="AE44" s="8"/>
    </row>
    <row r="45" ht="15.75" customHeight="1">
      <c r="D45" s="11">
        <v>11.0</v>
      </c>
      <c r="J45" s="5">
        <f t="shared" si="1"/>
        <v>0</v>
      </c>
      <c r="L45" s="30">
        <v>43085.0</v>
      </c>
      <c r="M45" s="9">
        <v>0.5673611111111111</v>
      </c>
      <c r="N45" s="9">
        <v>0.5743055555555555</v>
      </c>
      <c r="O45" s="8" t="s">
        <v>25</v>
      </c>
      <c r="R45" s="9">
        <f t="shared" si="2"/>
        <v>0.006944444444</v>
      </c>
      <c r="AA45" s="27"/>
      <c r="AB45" s="7"/>
      <c r="AC45" s="7"/>
      <c r="AD45" s="8"/>
      <c r="AE45" s="8"/>
    </row>
    <row r="46" ht="15.75" customHeight="1">
      <c r="D46" s="11">
        <v>2.0</v>
      </c>
      <c r="J46" s="5">
        <f t="shared" si="1"/>
        <v>0</v>
      </c>
      <c r="L46" s="30">
        <v>43085.0</v>
      </c>
      <c r="M46" s="9">
        <v>0.4673611111111111</v>
      </c>
      <c r="N46" s="9">
        <v>0.4777777777777778</v>
      </c>
      <c r="O46" s="8" t="s">
        <v>65</v>
      </c>
      <c r="R46" s="9">
        <f t="shared" si="2"/>
        <v>0.01041666667</v>
      </c>
      <c r="AA46" s="27"/>
      <c r="AB46" s="7"/>
      <c r="AC46" s="7"/>
      <c r="AD46" s="8"/>
      <c r="AE46" s="8"/>
    </row>
    <row r="47" ht="15.75" customHeight="1">
      <c r="D47" s="11">
        <v>1.0</v>
      </c>
      <c r="J47" s="5">
        <f t="shared" si="1"/>
        <v>0</v>
      </c>
      <c r="L47" s="30">
        <v>43085.0</v>
      </c>
      <c r="M47" s="9">
        <v>0.4784722222222222</v>
      </c>
      <c r="N47" s="9">
        <v>0.4847222222222222</v>
      </c>
      <c r="O47" s="8" t="s">
        <v>66</v>
      </c>
      <c r="R47" s="9">
        <f t="shared" si="2"/>
        <v>0.00625</v>
      </c>
      <c r="AA47" s="27"/>
      <c r="AB47" s="7"/>
      <c r="AC47" s="7"/>
      <c r="AD47" s="8"/>
    </row>
    <row r="48" ht="15.75" customHeight="1">
      <c r="D48" s="11">
        <v>3.0</v>
      </c>
      <c r="J48" s="5">
        <f t="shared" si="1"/>
        <v>0</v>
      </c>
      <c r="L48" s="30">
        <v>43085.0</v>
      </c>
      <c r="M48" s="9">
        <v>0.4861111111111111</v>
      </c>
      <c r="N48" s="9">
        <v>0.4909722222222222</v>
      </c>
      <c r="O48" s="5" t="s">
        <v>66</v>
      </c>
      <c r="R48" s="9">
        <f t="shared" si="2"/>
        <v>0.004861111111</v>
      </c>
      <c r="AA48" s="27"/>
      <c r="AB48" s="7"/>
      <c r="AC48" s="7"/>
      <c r="AD48" s="8"/>
    </row>
    <row r="49" ht="15.75" customHeight="1">
      <c r="D49" s="11">
        <v>4.0</v>
      </c>
      <c r="J49" s="5">
        <f t="shared" si="1"/>
        <v>0</v>
      </c>
      <c r="L49" s="30">
        <v>43085.0</v>
      </c>
      <c r="M49" s="9">
        <v>0.4923611111111111</v>
      </c>
      <c r="N49" s="9">
        <v>0.4986111111111111</v>
      </c>
      <c r="O49" s="8" t="s">
        <v>67</v>
      </c>
      <c r="R49" s="9">
        <f t="shared" si="2"/>
        <v>0.00625</v>
      </c>
      <c r="AA49" s="27"/>
      <c r="AB49" s="7"/>
      <c r="AC49" s="7"/>
      <c r="AD49" s="8"/>
    </row>
    <row r="50" ht="15.75" customHeight="1">
      <c r="D50" s="11">
        <v>5.0</v>
      </c>
      <c r="J50" s="5">
        <f t="shared" si="1"/>
        <v>0</v>
      </c>
      <c r="L50" s="30">
        <v>43085.0</v>
      </c>
      <c r="M50" s="9">
        <v>0.5006944444444444</v>
      </c>
      <c r="N50" s="9">
        <v>0.5069444444444444</v>
      </c>
      <c r="O50" s="8" t="s">
        <v>25</v>
      </c>
      <c r="P50" s="5" t="s">
        <v>26</v>
      </c>
      <c r="R50" s="9">
        <f t="shared" si="2"/>
        <v>0.00625</v>
      </c>
      <c r="AA50" s="27"/>
      <c r="AB50" s="9"/>
      <c r="AC50" s="9"/>
      <c r="AD50" s="8"/>
    </row>
    <row r="51" ht="15.75" customHeight="1">
      <c r="D51" s="11">
        <v>6.0</v>
      </c>
      <c r="J51" s="5">
        <f t="shared" si="1"/>
        <v>0</v>
      </c>
      <c r="L51" s="30">
        <v>43085.0</v>
      </c>
      <c r="M51" s="9">
        <v>0.5069444444444444</v>
      </c>
      <c r="N51" s="9">
        <v>0.5131944444444444</v>
      </c>
      <c r="O51" s="8" t="s">
        <v>25</v>
      </c>
      <c r="P51" s="5" t="s">
        <v>63</v>
      </c>
      <c r="R51" s="9">
        <f t="shared" si="2"/>
        <v>0.00625</v>
      </c>
      <c r="AA51" s="27"/>
      <c r="AB51" s="9"/>
      <c r="AC51" s="9"/>
      <c r="AD51" s="8"/>
    </row>
    <row r="52" ht="15.75" customHeight="1">
      <c r="D52" s="11">
        <v>7.0</v>
      </c>
      <c r="J52" s="5">
        <f t="shared" si="1"/>
        <v>0</v>
      </c>
      <c r="L52" s="30">
        <v>43085.0</v>
      </c>
      <c r="M52" s="9">
        <v>0.513888888888889</v>
      </c>
      <c r="N52" s="9">
        <v>0.5215277777777778</v>
      </c>
      <c r="O52" s="8" t="s">
        <v>68</v>
      </c>
      <c r="R52" s="9">
        <f t="shared" si="2"/>
        <v>0.007638888889</v>
      </c>
      <c r="AA52" s="27"/>
      <c r="AB52" s="7"/>
      <c r="AC52" s="7"/>
      <c r="AD52" s="8"/>
    </row>
    <row r="53" ht="15.75" customHeight="1">
      <c r="D53" s="11">
        <v>8.0</v>
      </c>
      <c r="J53" s="5">
        <f t="shared" si="1"/>
        <v>0</v>
      </c>
      <c r="L53" s="30">
        <v>43085.0</v>
      </c>
      <c r="M53" s="9">
        <v>0.5222222222222223</v>
      </c>
      <c r="N53" s="9">
        <v>0.5291666666666667</v>
      </c>
      <c r="O53" s="8" t="s">
        <v>25</v>
      </c>
      <c r="P53" s="5" t="s">
        <v>63</v>
      </c>
      <c r="R53" s="9">
        <f t="shared" si="2"/>
        <v>0.006944444444</v>
      </c>
      <c r="AA53" s="27"/>
      <c r="AB53" s="9"/>
      <c r="AC53" s="9"/>
      <c r="AD53" s="8"/>
    </row>
    <row r="54" ht="15.75" customHeight="1">
      <c r="D54" s="11">
        <v>10.0</v>
      </c>
      <c r="J54" s="5">
        <f t="shared" si="1"/>
        <v>0</v>
      </c>
      <c r="L54" s="31">
        <v>43085.0</v>
      </c>
      <c r="M54" s="7">
        <v>0.5326388888888889</v>
      </c>
      <c r="N54" s="7">
        <v>0.5381944444444444</v>
      </c>
      <c r="O54" s="8" t="s">
        <v>68</v>
      </c>
      <c r="P54" s="8"/>
      <c r="R54" s="9">
        <f t="shared" si="2"/>
        <v>0.005555555556</v>
      </c>
      <c r="AA54" s="27"/>
      <c r="AB54" s="7"/>
      <c r="AC54" s="7"/>
      <c r="AD54" s="8"/>
    </row>
    <row r="55" ht="15.75" customHeight="1">
      <c r="B55" s="22"/>
      <c r="C55" s="22"/>
      <c r="D55" s="22">
        <v>9.0</v>
      </c>
      <c r="E55" s="22"/>
      <c r="F55" s="22"/>
      <c r="G55" s="22"/>
      <c r="H55" s="22"/>
      <c r="I55" s="22"/>
      <c r="J55" s="5">
        <f t="shared" si="1"/>
        <v>0</v>
      </c>
      <c r="K55" s="22"/>
      <c r="L55" s="32">
        <v>43085.0</v>
      </c>
      <c r="M55" s="24">
        <v>0.5409722222222222</v>
      </c>
      <c r="N55" s="24">
        <v>0.5479166666666667</v>
      </c>
      <c r="O55" s="25" t="s">
        <v>25</v>
      </c>
      <c r="P55" s="25" t="s">
        <v>63</v>
      </c>
      <c r="R55" s="9">
        <f t="shared" si="2"/>
        <v>0.006944444444</v>
      </c>
      <c r="AA55" s="27"/>
      <c r="AB55" s="7"/>
      <c r="AC55" s="7"/>
      <c r="AD55" s="8"/>
    </row>
    <row r="56" ht="15.75" customHeight="1">
      <c r="D56" s="11">
        <v>2.0</v>
      </c>
      <c r="J56" s="5">
        <f t="shared" si="1"/>
        <v>0</v>
      </c>
      <c r="L56" s="27">
        <v>43120.0</v>
      </c>
      <c r="M56" s="9">
        <v>0.47152777777777777</v>
      </c>
      <c r="N56" s="9">
        <v>0.4770833333333333</v>
      </c>
      <c r="O56" s="8" t="s">
        <v>25</v>
      </c>
      <c r="P56" s="5" t="s">
        <v>63</v>
      </c>
      <c r="R56" s="9">
        <f t="shared" si="2"/>
        <v>0.005555555556</v>
      </c>
      <c r="AA56" s="27"/>
      <c r="AB56" s="7"/>
      <c r="AC56" s="7"/>
      <c r="AD56" s="8"/>
    </row>
    <row r="57" ht="15.75" customHeight="1">
      <c r="D57" s="11">
        <v>1.0</v>
      </c>
      <c r="J57" s="5">
        <f t="shared" si="1"/>
        <v>0</v>
      </c>
      <c r="L57" s="27">
        <v>43120.0</v>
      </c>
      <c r="M57" s="7">
        <v>0.4770833333333333</v>
      </c>
      <c r="N57" s="7">
        <v>0.4826388888888889</v>
      </c>
      <c r="O57" s="8" t="s">
        <v>25</v>
      </c>
      <c r="R57" s="9">
        <f t="shared" si="2"/>
        <v>0.005555555556</v>
      </c>
      <c r="AA57" s="27"/>
      <c r="AB57" s="9"/>
      <c r="AC57" s="9"/>
      <c r="AD57" s="8"/>
    </row>
    <row r="58" ht="15.75" customHeight="1">
      <c r="B58" s="5" t="s">
        <v>48</v>
      </c>
      <c r="C58" s="5">
        <v>1.0</v>
      </c>
      <c r="D58" s="13">
        <v>3.0</v>
      </c>
      <c r="E58" s="5">
        <v>1.0</v>
      </c>
      <c r="F58" s="5">
        <v>700.0</v>
      </c>
      <c r="G58" s="5">
        <v>182.0</v>
      </c>
      <c r="H58" s="5">
        <v>2.0</v>
      </c>
      <c r="I58" s="5">
        <v>1.0</v>
      </c>
      <c r="J58" s="5">
        <f t="shared" si="1"/>
        <v>7</v>
      </c>
      <c r="K58" s="5" t="s">
        <v>55</v>
      </c>
      <c r="L58" s="27">
        <v>43120.0</v>
      </c>
      <c r="M58" s="9">
        <v>0.4840277777777778</v>
      </c>
      <c r="N58" s="9">
        <v>0.4916666666666667</v>
      </c>
      <c r="O58" s="8" t="s">
        <v>25</v>
      </c>
      <c r="R58" s="9">
        <f t="shared" si="2"/>
        <v>0.007638888889</v>
      </c>
      <c r="AA58" s="27"/>
      <c r="AB58" s="9"/>
      <c r="AC58" s="9"/>
      <c r="AD58" s="8"/>
    </row>
    <row r="59" ht="15.75" customHeight="1">
      <c r="D59" s="11">
        <v>4.0</v>
      </c>
      <c r="J59" s="5">
        <f t="shared" si="1"/>
        <v>0</v>
      </c>
      <c r="L59" s="27">
        <v>43120.0</v>
      </c>
      <c r="M59" s="7">
        <v>0.4930555555555556</v>
      </c>
      <c r="N59" s="7">
        <v>0.4986111111111111</v>
      </c>
      <c r="O59" s="8" t="s">
        <v>25</v>
      </c>
      <c r="R59" s="9">
        <f t="shared" si="2"/>
        <v>0.005555555556</v>
      </c>
      <c r="AA59" s="27"/>
      <c r="AB59" s="7"/>
      <c r="AC59" s="7"/>
      <c r="AD59" s="8"/>
    </row>
    <row r="60" ht="15.75" customHeight="1">
      <c r="D60" s="11">
        <v>5.0</v>
      </c>
      <c r="J60" s="5">
        <f t="shared" si="1"/>
        <v>0</v>
      </c>
      <c r="L60" s="27">
        <v>43120.0</v>
      </c>
      <c r="M60" s="9">
        <v>0.5006944444444444</v>
      </c>
      <c r="N60" s="9">
        <v>0.5055555555555555</v>
      </c>
      <c r="O60" s="8" t="s">
        <v>25</v>
      </c>
      <c r="P60" s="5" t="s">
        <v>69</v>
      </c>
      <c r="R60" s="9">
        <f t="shared" si="2"/>
        <v>0.004861111111</v>
      </c>
      <c r="AA60" s="27"/>
      <c r="AB60" s="7"/>
      <c r="AC60" s="7"/>
      <c r="AD60" s="8"/>
    </row>
    <row r="61" ht="15.75" customHeight="1">
      <c r="D61" s="11">
        <v>6.0</v>
      </c>
      <c r="J61" s="5">
        <f t="shared" si="1"/>
        <v>0</v>
      </c>
      <c r="L61" s="27">
        <v>43120.0</v>
      </c>
      <c r="M61" s="9">
        <v>0.5069444444444444</v>
      </c>
      <c r="N61" s="9">
        <v>0.5111111111111112</v>
      </c>
      <c r="O61" s="8" t="s">
        <v>25</v>
      </c>
      <c r="P61" s="5" t="s">
        <v>69</v>
      </c>
      <c r="R61" s="9">
        <f t="shared" si="2"/>
        <v>0.004166666667</v>
      </c>
      <c r="AA61" s="27"/>
      <c r="AB61" s="7"/>
      <c r="AC61" s="7"/>
      <c r="AD61" s="8"/>
      <c r="AE61" s="8"/>
    </row>
    <row r="62" ht="15.75" customHeight="1">
      <c r="B62" s="5" t="s">
        <v>48</v>
      </c>
      <c r="C62" s="5">
        <v>1.0</v>
      </c>
      <c r="D62" s="11">
        <v>7.0</v>
      </c>
      <c r="E62" s="5">
        <v>1.0</v>
      </c>
      <c r="F62" s="5">
        <v>491.0</v>
      </c>
      <c r="G62" s="5">
        <v>426.0</v>
      </c>
      <c r="H62" s="5">
        <v>4.0</v>
      </c>
      <c r="I62" s="5">
        <v>1.0</v>
      </c>
      <c r="J62" s="5">
        <f t="shared" si="1"/>
        <v>4.91</v>
      </c>
      <c r="K62" s="5" t="s">
        <v>55</v>
      </c>
      <c r="L62" s="27">
        <v>43120.0</v>
      </c>
      <c r="M62" s="9">
        <v>0.5125000000000001</v>
      </c>
      <c r="N62" s="9">
        <v>0.5180555555555556</v>
      </c>
      <c r="O62" s="8" t="s">
        <v>25</v>
      </c>
      <c r="P62" s="8" t="s">
        <v>61</v>
      </c>
      <c r="R62" s="9">
        <f t="shared" si="2"/>
        <v>0.005555555556</v>
      </c>
      <c r="AA62" s="27"/>
      <c r="AB62" s="7"/>
      <c r="AC62" s="7"/>
      <c r="AD62" s="8"/>
      <c r="AE62" s="8"/>
    </row>
    <row r="63" ht="15.75" customHeight="1">
      <c r="B63" s="5" t="s">
        <v>48</v>
      </c>
      <c r="C63" s="5">
        <v>1.0</v>
      </c>
      <c r="D63" s="11">
        <v>8.0</v>
      </c>
      <c r="E63" s="5">
        <v>1.0</v>
      </c>
      <c r="F63" s="5">
        <v>498.0</v>
      </c>
      <c r="G63" s="5">
        <v>800.0</v>
      </c>
      <c r="H63" s="5">
        <v>4.0</v>
      </c>
      <c r="I63" s="5">
        <v>1.0</v>
      </c>
      <c r="J63" s="5">
        <f t="shared" si="1"/>
        <v>4.98</v>
      </c>
      <c r="L63" s="27">
        <v>43120.0</v>
      </c>
      <c r="M63" s="9">
        <v>0.5201388888888888</v>
      </c>
      <c r="N63" s="9">
        <v>0.5284722222222222</v>
      </c>
      <c r="O63" s="8" t="s">
        <v>25</v>
      </c>
      <c r="R63" s="9">
        <f t="shared" si="2"/>
        <v>0.008333333333</v>
      </c>
      <c r="AA63" s="27"/>
      <c r="AB63" s="7"/>
      <c r="AC63" s="7"/>
      <c r="AD63" s="8"/>
      <c r="AE63" s="8"/>
    </row>
    <row r="64" ht="15.75" customHeight="1">
      <c r="B64" s="5" t="s">
        <v>48</v>
      </c>
      <c r="C64" s="5">
        <v>1.0</v>
      </c>
      <c r="D64" s="11">
        <v>8.0</v>
      </c>
      <c r="E64" s="5">
        <v>1.0</v>
      </c>
      <c r="F64" s="5">
        <v>243.0</v>
      </c>
      <c r="G64" s="5">
        <v>800.0</v>
      </c>
      <c r="H64" s="5">
        <v>4.0</v>
      </c>
      <c r="I64" s="5">
        <v>1.0</v>
      </c>
      <c r="J64" s="5">
        <f t="shared" si="1"/>
        <v>2.43</v>
      </c>
      <c r="L64" s="27">
        <v>43120.0</v>
      </c>
      <c r="M64" s="9">
        <v>0.5201388888888888</v>
      </c>
      <c r="N64" s="9">
        <v>0.5284722222222222</v>
      </c>
      <c r="O64" s="8" t="s">
        <v>25</v>
      </c>
      <c r="R64" s="9">
        <f t="shared" si="2"/>
        <v>0.008333333333</v>
      </c>
      <c r="AA64" s="27"/>
      <c r="AB64" s="7"/>
      <c r="AC64" s="7"/>
      <c r="AD64" s="8"/>
      <c r="AE64" s="8"/>
    </row>
    <row r="65" ht="15.75" customHeight="1">
      <c r="D65" s="11">
        <v>10.0</v>
      </c>
      <c r="J65" s="5">
        <f t="shared" si="1"/>
        <v>0</v>
      </c>
      <c r="L65" s="27">
        <v>43120.0</v>
      </c>
      <c r="M65" s="7">
        <v>0.5305555555555556</v>
      </c>
      <c r="N65" s="7">
        <v>0.5347222222222222</v>
      </c>
      <c r="O65" s="8" t="s">
        <v>25</v>
      </c>
      <c r="R65" s="9">
        <f t="shared" si="2"/>
        <v>0.004166666667</v>
      </c>
      <c r="AA65" s="27"/>
      <c r="AB65" s="7"/>
      <c r="AC65" s="7"/>
      <c r="AD65" s="8"/>
      <c r="AE65" s="8"/>
    </row>
    <row r="66" ht="15.75" customHeight="1">
      <c r="D66" s="11">
        <v>9.0</v>
      </c>
      <c r="J66" s="5">
        <f t="shared" si="1"/>
        <v>0</v>
      </c>
      <c r="L66" s="27">
        <v>43120.0</v>
      </c>
      <c r="M66" s="7">
        <v>0.5375</v>
      </c>
      <c r="N66" s="7">
        <v>0.5423611111111112</v>
      </c>
      <c r="O66" s="8" t="s">
        <v>25</v>
      </c>
      <c r="R66" s="9">
        <f t="shared" si="2"/>
        <v>0.004861111111</v>
      </c>
      <c r="AA66" s="27"/>
      <c r="AB66" s="7"/>
      <c r="AC66" s="7"/>
      <c r="AD66" s="8"/>
      <c r="AE66" s="8"/>
    </row>
    <row r="67" ht="15.75" customHeight="1">
      <c r="D67" s="11">
        <v>12.0</v>
      </c>
      <c r="J67" s="5">
        <f t="shared" si="1"/>
        <v>0</v>
      </c>
      <c r="L67" s="27">
        <v>43120.0</v>
      </c>
      <c r="M67" s="9">
        <v>0.5465277777777778</v>
      </c>
      <c r="N67" s="9">
        <v>0.5534722222222223</v>
      </c>
      <c r="O67" s="8" t="s">
        <v>25</v>
      </c>
      <c r="R67" s="9">
        <f t="shared" si="2"/>
        <v>0.006944444444</v>
      </c>
      <c r="AA67" s="34"/>
      <c r="AB67" s="9"/>
      <c r="AC67" s="9"/>
    </row>
    <row r="68" ht="15.75" customHeight="1">
      <c r="B68" s="22"/>
      <c r="C68" s="22"/>
      <c r="D68" s="22">
        <v>11.0</v>
      </c>
      <c r="E68" s="22"/>
      <c r="F68" s="22"/>
      <c r="G68" s="22"/>
      <c r="H68" s="22"/>
      <c r="I68" s="22"/>
      <c r="J68" s="5">
        <f t="shared" si="1"/>
        <v>0</v>
      </c>
      <c r="K68" s="22"/>
      <c r="L68" s="29">
        <v>43120.0</v>
      </c>
      <c r="M68" s="33">
        <v>0.5541666666666667</v>
      </c>
      <c r="N68" s="33">
        <v>0.5590277777777778</v>
      </c>
      <c r="O68" s="25" t="s">
        <v>25</v>
      </c>
      <c r="P68" s="22"/>
      <c r="R68" s="9">
        <f t="shared" si="2"/>
        <v>0.004861111111</v>
      </c>
      <c r="AA68" s="34"/>
      <c r="AB68" s="9"/>
      <c r="AC68" s="9"/>
      <c r="AD68" s="8"/>
    </row>
    <row r="69" ht="15.75" customHeight="1">
      <c r="D69" s="11">
        <v>2.0</v>
      </c>
      <c r="J69" s="5">
        <f t="shared" si="1"/>
        <v>0</v>
      </c>
      <c r="L69" s="27">
        <v>43134.0</v>
      </c>
      <c r="M69" s="9">
        <v>0.5048611111111111</v>
      </c>
      <c r="N69" s="9">
        <v>0.517361111111111</v>
      </c>
      <c r="O69" s="8" t="s">
        <v>70</v>
      </c>
      <c r="R69" s="9">
        <f t="shared" si="2"/>
        <v>0.0125</v>
      </c>
      <c r="AA69" s="34"/>
      <c r="AB69" s="9"/>
      <c r="AC69" s="9"/>
      <c r="AD69" s="8"/>
    </row>
    <row r="70" ht="15.75" customHeight="1">
      <c r="D70" s="11">
        <v>1.0</v>
      </c>
      <c r="J70" s="5">
        <f t="shared" si="1"/>
        <v>0</v>
      </c>
      <c r="L70" s="27">
        <v>43134.0</v>
      </c>
      <c r="M70" s="9">
        <v>0.517361111111111</v>
      </c>
      <c r="N70" s="9">
        <v>0.5236111111111111</v>
      </c>
      <c r="O70" s="8" t="s">
        <v>25</v>
      </c>
      <c r="R70" s="9">
        <f t="shared" si="2"/>
        <v>0.00625</v>
      </c>
      <c r="AA70" s="34"/>
      <c r="AB70" s="9"/>
      <c r="AC70" s="9"/>
      <c r="AD70" s="8"/>
    </row>
    <row r="71" ht="15.75" customHeight="1">
      <c r="B71" s="5" t="s">
        <v>48</v>
      </c>
      <c r="C71" s="5">
        <v>1.0</v>
      </c>
      <c r="D71" s="13">
        <v>3.0</v>
      </c>
      <c r="E71" s="5">
        <v>1.0</v>
      </c>
      <c r="F71" s="5">
        <v>233.0</v>
      </c>
      <c r="G71" s="5">
        <v>178.0</v>
      </c>
      <c r="H71" s="5">
        <v>2.0</v>
      </c>
      <c r="I71" s="5">
        <v>1.0</v>
      </c>
      <c r="J71" s="5">
        <f t="shared" si="1"/>
        <v>2.33</v>
      </c>
      <c r="L71" s="27">
        <v>43134.0</v>
      </c>
      <c r="M71" s="7">
        <v>0.5243055555555556</v>
      </c>
      <c r="N71" s="7">
        <v>0.5298611111111111</v>
      </c>
      <c r="O71" s="8" t="s">
        <v>25</v>
      </c>
      <c r="R71" s="9">
        <f t="shared" si="2"/>
        <v>0.005555555556</v>
      </c>
      <c r="AA71" s="34"/>
      <c r="AB71" s="9"/>
      <c r="AC71" s="9"/>
      <c r="AD71" s="8"/>
    </row>
    <row r="72" ht="15.75" customHeight="1">
      <c r="D72" s="11">
        <v>4.0</v>
      </c>
      <c r="J72" s="5">
        <f t="shared" si="1"/>
        <v>0</v>
      </c>
      <c r="L72" s="27">
        <v>43134.0</v>
      </c>
      <c r="M72" s="7">
        <v>0.5305555555555556</v>
      </c>
      <c r="N72" s="7">
        <v>0.5354166666666667</v>
      </c>
      <c r="O72" s="8" t="s">
        <v>25</v>
      </c>
      <c r="R72" s="9">
        <f t="shared" si="2"/>
        <v>0.004861111111</v>
      </c>
      <c r="AA72" s="34"/>
      <c r="AB72" s="9"/>
      <c r="AC72" s="9"/>
      <c r="AD72" s="8"/>
    </row>
    <row r="73" ht="15.75" customHeight="1">
      <c r="B73" s="5" t="s">
        <v>48</v>
      </c>
      <c r="C73" s="5">
        <v>1.0</v>
      </c>
      <c r="D73" s="11">
        <v>5.0</v>
      </c>
      <c r="E73" s="5">
        <v>1.0</v>
      </c>
      <c r="F73" s="5">
        <v>267.0</v>
      </c>
      <c r="G73" s="5">
        <v>335.0</v>
      </c>
      <c r="H73" s="5">
        <v>2.0</v>
      </c>
      <c r="I73" s="5">
        <v>1.0</v>
      </c>
      <c r="J73" s="5">
        <f t="shared" si="1"/>
        <v>2.67</v>
      </c>
      <c r="L73" s="27">
        <v>43134.0</v>
      </c>
      <c r="M73" s="9">
        <v>0.5395833333333333</v>
      </c>
      <c r="N73" s="9">
        <v>0.5423611111111112</v>
      </c>
      <c r="O73" s="8" t="s">
        <v>25</v>
      </c>
      <c r="R73" s="9">
        <f t="shared" si="2"/>
        <v>0.002777777778</v>
      </c>
      <c r="AA73" s="34"/>
      <c r="AB73" s="9"/>
      <c r="AC73" s="9"/>
      <c r="AD73" s="8"/>
    </row>
    <row r="74" ht="15.75" customHeight="1">
      <c r="D74" s="11">
        <v>6.0</v>
      </c>
      <c r="J74" s="5">
        <f t="shared" si="1"/>
        <v>0</v>
      </c>
      <c r="L74" s="27">
        <v>43134.0</v>
      </c>
      <c r="M74" s="9">
        <v>0.5437500000000001</v>
      </c>
      <c r="N74" s="9">
        <v>0.548611111111111</v>
      </c>
      <c r="O74" s="8" t="s">
        <v>25</v>
      </c>
      <c r="R74" s="9">
        <f t="shared" si="2"/>
        <v>0.004861111111</v>
      </c>
      <c r="AA74" s="34"/>
      <c r="AB74" s="9"/>
      <c r="AC74" s="9"/>
      <c r="AD74" s="8"/>
    </row>
    <row r="75" ht="15.75" customHeight="1">
      <c r="B75" s="5" t="s">
        <v>48</v>
      </c>
      <c r="C75" s="5">
        <v>1.0</v>
      </c>
      <c r="D75" s="11">
        <v>7.0</v>
      </c>
      <c r="E75" s="5">
        <v>1.0</v>
      </c>
      <c r="F75" s="5">
        <v>411.0</v>
      </c>
      <c r="G75" s="5">
        <v>443.0</v>
      </c>
      <c r="H75" s="5">
        <v>4.0</v>
      </c>
      <c r="I75" s="5">
        <v>1.0</v>
      </c>
      <c r="J75" s="5">
        <f t="shared" si="1"/>
        <v>4.11</v>
      </c>
      <c r="L75" s="27">
        <v>43134.0</v>
      </c>
      <c r="M75" s="7">
        <v>0.5499999999999999</v>
      </c>
      <c r="N75" s="7">
        <v>0.5555555555555556</v>
      </c>
      <c r="O75" s="8" t="s">
        <v>25</v>
      </c>
      <c r="R75" s="9">
        <f t="shared" si="2"/>
        <v>0.005555555556</v>
      </c>
      <c r="AA75" s="27"/>
      <c r="AB75" s="7"/>
      <c r="AC75" s="7"/>
      <c r="AD75" s="8"/>
      <c r="AE75" s="8"/>
    </row>
    <row r="76" ht="15.75" customHeight="1">
      <c r="D76" s="5">
        <v>8.0</v>
      </c>
      <c r="J76" s="5">
        <f t="shared" si="1"/>
        <v>0</v>
      </c>
      <c r="L76" s="27">
        <v>43134.0</v>
      </c>
      <c r="M76" s="7">
        <v>0.55625</v>
      </c>
      <c r="N76" s="7">
        <v>0.5638888888888889</v>
      </c>
      <c r="O76" s="8" t="s">
        <v>25</v>
      </c>
      <c r="R76" s="9">
        <f t="shared" si="2"/>
        <v>0.007638888889</v>
      </c>
      <c r="AA76" s="27"/>
      <c r="AB76" s="9"/>
      <c r="AC76" s="9"/>
      <c r="AD76" s="8"/>
    </row>
    <row r="77" ht="15.75" customHeight="1">
      <c r="D77" s="5">
        <v>10.0</v>
      </c>
      <c r="J77" s="5">
        <f t="shared" si="1"/>
        <v>0</v>
      </c>
      <c r="L77" s="27">
        <v>43134.0</v>
      </c>
      <c r="M77" s="9">
        <v>0.56875</v>
      </c>
      <c r="N77" s="9">
        <v>0.5743055555555555</v>
      </c>
      <c r="O77" s="8" t="s">
        <v>25</v>
      </c>
      <c r="R77" s="9">
        <f t="shared" si="2"/>
        <v>0.005555555556</v>
      </c>
      <c r="AA77" s="27"/>
      <c r="AB77" s="7"/>
      <c r="AC77" s="7"/>
      <c r="AD77" s="8"/>
    </row>
    <row r="78" ht="15.75" customHeight="1">
      <c r="D78" s="5">
        <v>9.0</v>
      </c>
      <c r="J78" s="5">
        <f t="shared" si="1"/>
        <v>0</v>
      </c>
      <c r="L78" s="27">
        <v>43134.0</v>
      </c>
      <c r="M78" s="9">
        <v>0.576388888888889</v>
      </c>
      <c r="N78" s="9">
        <v>0.5812499999999999</v>
      </c>
      <c r="O78" s="8" t="s">
        <v>25</v>
      </c>
      <c r="R78" s="9">
        <f t="shared" si="2"/>
        <v>0.004861111111</v>
      </c>
      <c r="AA78" s="27"/>
      <c r="AB78" s="7"/>
      <c r="AC78" s="7"/>
      <c r="AD78" s="8"/>
    </row>
    <row r="79" ht="15.75" customHeight="1">
      <c r="D79" s="5">
        <v>12.0</v>
      </c>
      <c r="J79" s="5">
        <f t="shared" si="1"/>
        <v>0</v>
      </c>
      <c r="L79" s="27">
        <v>43134.0</v>
      </c>
      <c r="M79" s="9">
        <v>0.5833333333333334</v>
      </c>
      <c r="N79" s="9">
        <v>0.5902777777777778</v>
      </c>
      <c r="O79" s="8" t="s">
        <v>71</v>
      </c>
      <c r="R79" s="9">
        <f t="shared" si="2"/>
        <v>0.006944444444</v>
      </c>
      <c r="AA79" s="27"/>
      <c r="AB79" s="9"/>
      <c r="AC79" s="9"/>
      <c r="AD79" s="8"/>
    </row>
    <row r="80" ht="15.75" customHeight="1">
      <c r="B80" s="22"/>
      <c r="C80" s="22"/>
      <c r="D80" s="22">
        <v>11.0</v>
      </c>
      <c r="E80" s="22"/>
      <c r="F80" s="22"/>
      <c r="G80" s="22"/>
      <c r="H80" s="22"/>
      <c r="I80" s="22"/>
      <c r="J80" s="5">
        <f t="shared" si="1"/>
        <v>0</v>
      </c>
      <c r="K80" s="22"/>
      <c r="L80" s="29">
        <v>43134.0</v>
      </c>
      <c r="M80" s="33">
        <v>0.59375</v>
      </c>
      <c r="N80" s="33">
        <v>0.5979166666666667</v>
      </c>
      <c r="O80" s="25" t="s">
        <v>71</v>
      </c>
      <c r="P80" s="22"/>
      <c r="R80" s="9">
        <f t="shared" si="2"/>
        <v>0.004166666667</v>
      </c>
      <c r="AA80" s="27"/>
      <c r="AB80" s="7"/>
      <c r="AC80" s="7"/>
      <c r="AD80" s="8"/>
      <c r="AE80" s="8"/>
    </row>
    <row r="81" ht="15.75" customHeight="1">
      <c r="B81" s="5" t="s">
        <v>48</v>
      </c>
      <c r="C81" s="5">
        <v>1.0</v>
      </c>
      <c r="D81" s="5">
        <v>2.0</v>
      </c>
      <c r="E81" s="5">
        <v>1.0</v>
      </c>
      <c r="F81" s="5">
        <v>300.0</v>
      </c>
      <c r="G81" s="5">
        <v>178.0</v>
      </c>
      <c r="H81" s="5">
        <v>5.0</v>
      </c>
      <c r="I81" s="5">
        <v>1.0</v>
      </c>
      <c r="J81" s="5">
        <f t="shared" si="1"/>
        <v>3</v>
      </c>
      <c r="L81" s="27">
        <v>43162.0</v>
      </c>
      <c r="M81" s="9">
        <v>0.4777777777777778</v>
      </c>
      <c r="N81" s="9">
        <v>0.48819444444444443</v>
      </c>
      <c r="O81" s="8" t="s">
        <v>25</v>
      </c>
      <c r="P81" s="5" t="s">
        <v>26</v>
      </c>
      <c r="R81" s="9">
        <f t="shared" si="2"/>
        <v>0.01041666667</v>
      </c>
      <c r="AA81" s="27"/>
      <c r="AB81" s="7"/>
      <c r="AC81" s="7"/>
      <c r="AD81" s="8"/>
      <c r="AE81" s="8"/>
    </row>
    <row r="82" ht="15.75" customHeight="1">
      <c r="B82" s="5" t="s">
        <v>48</v>
      </c>
      <c r="C82" s="5">
        <v>1.0</v>
      </c>
      <c r="D82" s="5">
        <v>2.0</v>
      </c>
      <c r="E82" s="5">
        <v>1.0</v>
      </c>
      <c r="F82" s="5">
        <v>820.0</v>
      </c>
      <c r="G82" s="5">
        <v>480.0</v>
      </c>
      <c r="H82" s="5">
        <v>2.0</v>
      </c>
      <c r="I82" s="5">
        <v>2.0</v>
      </c>
      <c r="J82" s="5">
        <f t="shared" si="1"/>
        <v>8.2</v>
      </c>
      <c r="K82" s="5" t="s">
        <v>55</v>
      </c>
      <c r="L82" s="27">
        <v>43162.0</v>
      </c>
      <c r="M82" s="9">
        <v>0.4777777777777778</v>
      </c>
      <c r="N82" s="9">
        <v>0.48819444444444443</v>
      </c>
      <c r="O82" s="8" t="s">
        <v>25</v>
      </c>
      <c r="P82" s="5" t="s">
        <v>26</v>
      </c>
      <c r="R82" s="9">
        <f t="shared" si="2"/>
        <v>0.01041666667</v>
      </c>
      <c r="AA82" s="27"/>
      <c r="AB82" s="7"/>
      <c r="AC82" s="7"/>
      <c r="AD82" s="8"/>
    </row>
    <row r="83" ht="15.75" customHeight="1">
      <c r="D83" s="5">
        <v>1.0</v>
      </c>
      <c r="J83" s="5">
        <f t="shared" si="1"/>
        <v>0</v>
      </c>
      <c r="L83" s="27">
        <v>43162.0</v>
      </c>
      <c r="M83" s="9">
        <v>0.48819444444444443</v>
      </c>
      <c r="N83" s="9">
        <v>0.4930555555555556</v>
      </c>
      <c r="O83" s="8" t="s">
        <v>25</v>
      </c>
      <c r="P83" s="5" t="s">
        <v>26</v>
      </c>
      <c r="R83" s="9">
        <f t="shared" si="2"/>
        <v>0.004861111111</v>
      </c>
      <c r="AA83" s="27"/>
      <c r="AB83" s="7"/>
      <c r="AC83" s="7"/>
      <c r="AD83" s="8"/>
    </row>
    <row r="84" ht="15.75" customHeight="1">
      <c r="D84" s="5">
        <v>3.0</v>
      </c>
      <c r="J84" s="5">
        <f t="shared" si="1"/>
        <v>0</v>
      </c>
      <c r="L84" s="27">
        <v>43162.0</v>
      </c>
      <c r="M84" s="9">
        <v>0.49444444444444446</v>
      </c>
      <c r="N84" s="9">
        <v>11.58</v>
      </c>
      <c r="O84" s="8" t="s">
        <v>25</v>
      </c>
      <c r="R84" s="9">
        <f t="shared" si="2"/>
        <v>11.08555556</v>
      </c>
      <c r="AA84" s="27"/>
      <c r="AB84" s="9"/>
      <c r="AC84" s="9"/>
      <c r="AD84" s="8"/>
    </row>
    <row r="85" ht="15.75" customHeight="1">
      <c r="D85" s="5">
        <v>4.0</v>
      </c>
      <c r="J85" s="5">
        <f t="shared" si="1"/>
        <v>0</v>
      </c>
      <c r="L85" s="27">
        <v>43162.0</v>
      </c>
      <c r="M85" s="9">
        <v>0.5</v>
      </c>
      <c r="N85" s="9">
        <v>0.5041666666666667</v>
      </c>
      <c r="O85" s="8" t="s">
        <v>25</v>
      </c>
      <c r="R85" s="9">
        <f t="shared" si="2"/>
        <v>0.004166666667</v>
      </c>
      <c r="AA85" s="27"/>
      <c r="AB85" s="9"/>
      <c r="AC85" s="9"/>
      <c r="AD85" s="8"/>
    </row>
    <row r="86" ht="15.75" customHeight="1">
      <c r="B86" s="5" t="s">
        <v>48</v>
      </c>
      <c r="C86" s="5">
        <v>1.0</v>
      </c>
      <c r="D86" s="5">
        <v>5.0</v>
      </c>
      <c r="E86" s="5">
        <v>1.0</v>
      </c>
      <c r="F86" s="5">
        <v>937.0</v>
      </c>
      <c r="G86" s="5">
        <v>484.0</v>
      </c>
      <c r="H86" s="5">
        <v>4.0</v>
      </c>
      <c r="I86" s="5">
        <v>1.0</v>
      </c>
      <c r="J86" s="5">
        <f t="shared" si="1"/>
        <v>9.37</v>
      </c>
      <c r="L86" s="27">
        <v>43162.0</v>
      </c>
      <c r="M86" s="7">
        <v>0.5083333333333333</v>
      </c>
      <c r="N86" s="7">
        <v>0.5131944444444444</v>
      </c>
      <c r="O86" s="8" t="s">
        <v>25</v>
      </c>
      <c r="P86" s="8" t="s">
        <v>59</v>
      </c>
      <c r="R86" s="9">
        <f t="shared" si="2"/>
        <v>0.004861111111</v>
      </c>
      <c r="AA86" s="27"/>
      <c r="AB86" s="7"/>
      <c r="AC86" s="7"/>
      <c r="AD86" s="8"/>
    </row>
    <row r="87" ht="15.75" customHeight="1">
      <c r="B87" s="5" t="s">
        <v>48</v>
      </c>
      <c r="C87" s="5">
        <v>1.0</v>
      </c>
      <c r="D87" s="5">
        <v>6.0</v>
      </c>
      <c r="E87" s="5">
        <v>1.0</v>
      </c>
      <c r="F87" s="5">
        <v>217.0</v>
      </c>
      <c r="G87" s="5">
        <v>187.0</v>
      </c>
      <c r="H87" s="5">
        <v>2.0</v>
      </c>
      <c r="I87" s="5">
        <v>1.0</v>
      </c>
      <c r="J87" s="5">
        <f t="shared" si="1"/>
        <v>2.17</v>
      </c>
      <c r="L87" s="27">
        <v>43162.0</v>
      </c>
      <c r="M87" s="7">
        <v>0.513888888888889</v>
      </c>
      <c r="N87" s="7">
        <v>0.5180555555555556</v>
      </c>
      <c r="O87" s="8" t="s">
        <v>25</v>
      </c>
      <c r="P87" s="8" t="s">
        <v>63</v>
      </c>
      <c r="R87" s="9">
        <f t="shared" si="2"/>
        <v>0.004166666667</v>
      </c>
      <c r="AA87" s="27"/>
      <c r="AB87" s="7"/>
      <c r="AC87" s="7"/>
      <c r="AD87" s="8"/>
    </row>
    <row r="88" ht="15.75" customHeight="1">
      <c r="B88" s="5" t="s">
        <v>48</v>
      </c>
      <c r="C88" s="5">
        <v>1.0</v>
      </c>
      <c r="D88" s="5">
        <v>7.0</v>
      </c>
      <c r="E88" s="5">
        <v>1.0</v>
      </c>
      <c r="F88" s="5">
        <v>530.0</v>
      </c>
      <c r="G88" s="5">
        <v>520.0</v>
      </c>
      <c r="H88" s="5">
        <v>4.0</v>
      </c>
      <c r="I88" s="5">
        <v>1.0</v>
      </c>
      <c r="J88" s="5">
        <f t="shared" si="1"/>
        <v>5.3</v>
      </c>
      <c r="K88" s="5" t="s">
        <v>57</v>
      </c>
      <c r="L88" s="27">
        <v>43162.0</v>
      </c>
      <c r="M88" s="9">
        <v>0.5187499999999999</v>
      </c>
      <c r="N88" s="9">
        <v>0.5236111111111111</v>
      </c>
      <c r="O88" s="8" t="s">
        <v>25</v>
      </c>
      <c r="R88" s="9">
        <f t="shared" si="2"/>
        <v>0.004861111111</v>
      </c>
      <c r="AA88" s="27"/>
      <c r="AB88" s="7"/>
      <c r="AC88" s="7"/>
      <c r="AD88" s="8"/>
    </row>
    <row r="89" ht="15.75" customHeight="1">
      <c r="D89" s="5">
        <v>8.0</v>
      </c>
      <c r="J89" s="5">
        <f t="shared" si="1"/>
        <v>0</v>
      </c>
      <c r="L89" s="27">
        <v>43162.0</v>
      </c>
      <c r="M89" s="9">
        <v>0.525</v>
      </c>
      <c r="N89" s="9">
        <v>0.5291666666666667</v>
      </c>
      <c r="O89" s="8" t="s">
        <v>25</v>
      </c>
      <c r="R89" s="9">
        <f t="shared" si="2"/>
        <v>0.004166666667</v>
      </c>
      <c r="AA89" s="27"/>
      <c r="AB89" s="7"/>
      <c r="AC89" s="7"/>
      <c r="AD89" s="8"/>
    </row>
    <row r="90" ht="15.75" customHeight="1">
      <c r="B90" s="5" t="s">
        <v>48</v>
      </c>
      <c r="C90" s="5">
        <v>1.0</v>
      </c>
      <c r="D90" s="13">
        <v>10.0</v>
      </c>
      <c r="E90" s="5">
        <v>1.0</v>
      </c>
      <c r="F90" s="5">
        <v>294.0</v>
      </c>
      <c r="G90" s="5">
        <v>180.0</v>
      </c>
      <c r="H90" s="5">
        <v>1.0</v>
      </c>
      <c r="I90" s="5">
        <v>1.0</v>
      </c>
      <c r="J90" s="5">
        <f t="shared" si="1"/>
        <v>2.94</v>
      </c>
      <c r="L90" s="27">
        <v>43162.0</v>
      </c>
      <c r="M90" s="9">
        <v>0.5291666666666667</v>
      </c>
      <c r="N90" s="9">
        <v>0.5340277777777778</v>
      </c>
      <c r="O90" s="8" t="s">
        <v>25</v>
      </c>
      <c r="R90" s="9">
        <f t="shared" si="2"/>
        <v>0.004861111111</v>
      </c>
      <c r="AA90" s="27"/>
      <c r="AB90" s="7"/>
      <c r="AC90" s="7"/>
      <c r="AD90" s="8"/>
    </row>
    <row r="91" ht="15.75" customHeight="1">
      <c r="D91" s="5">
        <v>9.0</v>
      </c>
      <c r="J91" s="5">
        <f t="shared" si="1"/>
        <v>0</v>
      </c>
      <c r="L91" s="27">
        <v>43162.0</v>
      </c>
      <c r="M91" s="9">
        <v>0.5368055555555555</v>
      </c>
      <c r="N91" s="9">
        <v>0.5395833333333333</v>
      </c>
      <c r="O91" s="8" t="s">
        <v>25</v>
      </c>
      <c r="R91" s="9">
        <f t="shared" si="2"/>
        <v>0.002777777778</v>
      </c>
      <c r="AA91" s="27"/>
      <c r="AB91" s="7"/>
      <c r="AC91" s="7"/>
      <c r="AD91" s="8"/>
    </row>
    <row r="92" ht="15.75" customHeight="1">
      <c r="D92" s="5">
        <v>12.0</v>
      </c>
      <c r="J92" s="5">
        <f t="shared" si="1"/>
        <v>0</v>
      </c>
      <c r="L92" s="27">
        <v>43162.0</v>
      </c>
      <c r="M92" s="9">
        <v>0.5416666666666666</v>
      </c>
      <c r="N92" s="9">
        <v>0.548611111111111</v>
      </c>
      <c r="O92" s="8" t="s">
        <v>25</v>
      </c>
      <c r="R92" s="9">
        <f t="shared" si="2"/>
        <v>0.006944444444</v>
      </c>
      <c r="AA92" s="27"/>
      <c r="AB92" s="9"/>
      <c r="AC92" s="9"/>
      <c r="AD92" s="8"/>
    </row>
    <row r="93" ht="15.75" customHeight="1">
      <c r="B93" s="22"/>
      <c r="C93" s="22"/>
      <c r="D93" s="22">
        <v>11.0</v>
      </c>
      <c r="E93" s="22"/>
      <c r="F93" s="22"/>
      <c r="G93" s="22"/>
      <c r="H93" s="22"/>
      <c r="I93" s="22"/>
      <c r="J93" s="5">
        <f t="shared" si="1"/>
        <v>0</v>
      </c>
      <c r="K93" s="22"/>
      <c r="L93" s="29">
        <v>43162.0</v>
      </c>
      <c r="M93" s="33">
        <v>0.5493055555555556</v>
      </c>
      <c r="N93" s="33">
        <v>0.5541666666666667</v>
      </c>
      <c r="O93" s="25" t="s">
        <v>25</v>
      </c>
      <c r="P93" s="22"/>
      <c r="R93" s="9">
        <f t="shared" si="2"/>
        <v>0.004861111111</v>
      </c>
      <c r="AA93" s="27"/>
      <c r="AB93" s="9"/>
      <c r="AC93" s="9"/>
      <c r="AD93" s="8"/>
    </row>
    <row r="94" ht="15.75" customHeight="1">
      <c r="D94" s="5">
        <v>2.0</v>
      </c>
      <c r="J94" s="5">
        <f t="shared" si="1"/>
        <v>0</v>
      </c>
      <c r="L94" s="34">
        <v>43197.0</v>
      </c>
      <c r="M94" s="9">
        <v>0.46875</v>
      </c>
      <c r="N94" s="9">
        <v>0.4763888888888889</v>
      </c>
      <c r="O94" s="8" t="s">
        <v>25</v>
      </c>
      <c r="P94" s="5" t="s">
        <v>63</v>
      </c>
      <c r="R94" s="9">
        <f t="shared" si="2"/>
        <v>0.007638888889</v>
      </c>
      <c r="AA94" s="27"/>
      <c r="AB94" s="7"/>
      <c r="AC94" s="7"/>
      <c r="AD94" s="8"/>
    </row>
    <row r="95" ht="15.75" customHeight="1">
      <c r="D95" s="5">
        <v>1.0</v>
      </c>
      <c r="J95" s="5">
        <f t="shared" si="1"/>
        <v>0</v>
      </c>
      <c r="L95" s="34">
        <v>43197.0</v>
      </c>
      <c r="M95" s="9">
        <v>0.4770833333333333</v>
      </c>
      <c r="N95" s="9">
        <v>0.4840277777777778</v>
      </c>
      <c r="O95" s="8" t="s">
        <v>25</v>
      </c>
      <c r="R95" s="9">
        <f t="shared" si="2"/>
        <v>0.006944444444</v>
      </c>
      <c r="AA95" s="27"/>
      <c r="AB95" s="7"/>
      <c r="AC95" s="7"/>
      <c r="AD95" s="8"/>
    </row>
    <row r="96" ht="15.75" customHeight="1">
      <c r="D96" s="5">
        <v>3.0</v>
      </c>
      <c r="J96" s="5">
        <f t="shared" si="1"/>
        <v>0</v>
      </c>
      <c r="L96" s="27">
        <v>43197.0</v>
      </c>
      <c r="M96" s="9">
        <v>0.4847222222222222</v>
      </c>
      <c r="N96" s="9">
        <v>0.4895833333333333</v>
      </c>
      <c r="O96" s="8" t="s">
        <v>25</v>
      </c>
      <c r="R96" s="9">
        <f t="shared" si="2"/>
        <v>0.004861111111</v>
      </c>
      <c r="AA96" s="27"/>
      <c r="AB96" s="9"/>
      <c r="AC96" s="9"/>
      <c r="AD96" s="8"/>
    </row>
    <row r="97" ht="15.75" customHeight="1">
      <c r="D97" s="5">
        <v>4.0</v>
      </c>
      <c r="J97" s="5">
        <f t="shared" si="1"/>
        <v>0</v>
      </c>
      <c r="L97" s="27">
        <v>43197.0</v>
      </c>
      <c r="M97" s="9">
        <v>0.49444444444444446</v>
      </c>
      <c r="N97" s="9">
        <v>0.4979166666666666</v>
      </c>
      <c r="O97" s="8" t="s">
        <v>25</v>
      </c>
      <c r="R97" s="9">
        <f t="shared" si="2"/>
        <v>0.003472222222</v>
      </c>
      <c r="AA97" s="27"/>
      <c r="AB97" s="9"/>
      <c r="AC97" s="9"/>
      <c r="AD97" s="8"/>
    </row>
    <row r="98" ht="15.75" customHeight="1">
      <c r="B98" s="5" t="s">
        <v>48</v>
      </c>
      <c r="C98" s="5">
        <v>1.0</v>
      </c>
      <c r="D98" s="5">
        <v>5.0</v>
      </c>
      <c r="E98" s="5">
        <v>1.0</v>
      </c>
      <c r="F98" s="5">
        <v>448.0</v>
      </c>
      <c r="G98" s="5">
        <v>250.0</v>
      </c>
      <c r="H98" s="5">
        <v>2.0</v>
      </c>
      <c r="I98" s="5">
        <v>1.0</v>
      </c>
      <c r="J98" s="5">
        <f t="shared" si="1"/>
        <v>4.48</v>
      </c>
      <c r="L98" s="27">
        <v>43197.0</v>
      </c>
      <c r="M98" s="9">
        <v>0.5013888888888889</v>
      </c>
      <c r="N98" s="9">
        <v>0.5097222222222222</v>
      </c>
      <c r="O98" s="8" t="s">
        <v>25</v>
      </c>
      <c r="R98" s="9">
        <f t="shared" si="2"/>
        <v>0.008333333333</v>
      </c>
      <c r="AA98" s="27"/>
      <c r="AB98" s="7"/>
      <c r="AC98" s="7"/>
      <c r="AD98" s="8"/>
    </row>
    <row r="99" ht="15.75" customHeight="1">
      <c r="D99" s="5">
        <v>6.0</v>
      </c>
      <c r="J99" s="5">
        <f t="shared" si="1"/>
        <v>0</v>
      </c>
      <c r="L99" s="27">
        <v>43197.0</v>
      </c>
      <c r="M99" s="9">
        <v>0.5097222222222222</v>
      </c>
      <c r="N99" s="9">
        <v>0.513888888888889</v>
      </c>
      <c r="O99" s="8" t="s">
        <v>25</v>
      </c>
      <c r="R99" s="9">
        <f t="shared" si="2"/>
        <v>0.004166666667</v>
      </c>
      <c r="AA99" s="27"/>
      <c r="AB99" s="7"/>
      <c r="AC99" s="7"/>
      <c r="AD99" s="8"/>
    </row>
    <row r="100" ht="15.75" customHeight="1">
      <c r="D100" s="5">
        <v>7.0</v>
      </c>
      <c r="J100" s="5">
        <f t="shared" si="1"/>
        <v>0</v>
      </c>
      <c r="L100" s="27">
        <v>43197.0</v>
      </c>
      <c r="M100" s="7">
        <v>0.5152777777777778</v>
      </c>
      <c r="N100" s="7">
        <v>0.5194444444444445</v>
      </c>
      <c r="O100" s="8" t="s">
        <v>25</v>
      </c>
      <c r="R100" s="9">
        <f t="shared" si="2"/>
        <v>0.004166666667</v>
      </c>
      <c r="AA100" s="27"/>
      <c r="AB100" s="7"/>
      <c r="AC100" s="7"/>
      <c r="AD100" s="8"/>
    </row>
    <row r="101" ht="15.75" customHeight="1">
      <c r="D101" s="5">
        <v>8.0</v>
      </c>
      <c r="J101" s="5">
        <f t="shared" si="1"/>
        <v>0</v>
      </c>
      <c r="L101" s="27">
        <v>43197.0</v>
      </c>
      <c r="M101" s="7">
        <v>0.5201388888888888</v>
      </c>
      <c r="N101" s="7">
        <v>0.525</v>
      </c>
      <c r="O101" s="8" t="s">
        <v>25</v>
      </c>
      <c r="R101" s="9">
        <f t="shared" si="2"/>
        <v>0.004861111111</v>
      </c>
      <c r="AA101" s="27"/>
      <c r="AB101" s="7"/>
      <c r="AC101" s="7"/>
      <c r="AD101" s="8"/>
    </row>
    <row r="102" ht="15.75" customHeight="1">
      <c r="D102" s="5">
        <v>10.0</v>
      </c>
      <c r="J102" s="5">
        <f t="shared" si="1"/>
        <v>0</v>
      </c>
      <c r="L102" s="27">
        <v>43197.0</v>
      </c>
      <c r="M102" s="7">
        <v>0.5270833333333333</v>
      </c>
      <c r="N102" s="7">
        <v>0.5298611111111111</v>
      </c>
      <c r="O102" s="8" t="s">
        <v>25</v>
      </c>
      <c r="R102" s="9">
        <f t="shared" si="2"/>
        <v>0.002777777778</v>
      </c>
      <c r="AA102" s="27"/>
      <c r="AB102" s="7"/>
      <c r="AC102" s="7"/>
      <c r="AD102" s="8"/>
      <c r="AE102" s="8"/>
    </row>
    <row r="103" ht="15.75" customHeight="1">
      <c r="D103" s="5">
        <v>9.0</v>
      </c>
      <c r="J103" s="5">
        <f t="shared" si="1"/>
        <v>0</v>
      </c>
      <c r="L103" s="27">
        <v>43197.0</v>
      </c>
      <c r="M103" s="7">
        <v>0.5347222222222222</v>
      </c>
      <c r="N103" s="7">
        <v>0.5381944444444444</v>
      </c>
      <c r="O103" s="8" t="s">
        <v>65</v>
      </c>
      <c r="R103" s="9">
        <f t="shared" si="2"/>
        <v>0.003472222222</v>
      </c>
      <c r="AA103" s="27"/>
      <c r="AB103" s="7"/>
      <c r="AC103" s="7"/>
      <c r="AD103" s="8"/>
      <c r="AE103" s="8"/>
    </row>
    <row r="104" ht="15.75" customHeight="1">
      <c r="D104" s="5">
        <v>12.0</v>
      </c>
      <c r="J104" s="5">
        <f t="shared" si="1"/>
        <v>0</v>
      </c>
      <c r="L104" s="27">
        <v>43197.0</v>
      </c>
      <c r="M104" s="9">
        <v>0.5409722222222222</v>
      </c>
      <c r="N104" s="9">
        <v>0.545138888888889</v>
      </c>
      <c r="O104" s="8" t="s">
        <v>65</v>
      </c>
      <c r="R104" s="9">
        <f t="shared" si="2"/>
        <v>0.004166666667</v>
      </c>
      <c r="AA104" s="27"/>
      <c r="AB104" s="7"/>
      <c r="AC104" s="7"/>
      <c r="AD104" s="8"/>
      <c r="AE104" s="8"/>
    </row>
    <row r="105" ht="15.75" customHeight="1">
      <c r="B105" s="22"/>
      <c r="C105" s="22"/>
      <c r="D105" s="22">
        <v>11.0</v>
      </c>
      <c r="E105" s="22"/>
      <c r="F105" s="22"/>
      <c r="G105" s="22"/>
      <c r="H105" s="22"/>
      <c r="I105" s="22"/>
      <c r="J105" s="5">
        <f t="shared" si="1"/>
        <v>0</v>
      </c>
      <c r="K105" s="22"/>
      <c r="L105" s="29">
        <v>43197.0</v>
      </c>
      <c r="M105" s="33">
        <v>0.5479166666666667</v>
      </c>
      <c r="N105" s="33">
        <v>0.5520833333333334</v>
      </c>
      <c r="O105" s="25" t="s">
        <v>65</v>
      </c>
      <c r="P105" s="22" t="s">
        <v>26</v>
      </c>
      <c r="R105" s="9">
        <f t="shared" si="2"/>
        <v>0.004166666667</v>
      </c>
      <c r="AA105" s="27"/>
      <c r="AB105" s="7"/>
      <c r="AC105" s="7"/>
      <c r="AD105" s="8"/>
      <c r="AE105" s="8"/>
    </row>
    <row r="106" ht="15.75" customHeight="1">
      <c r="B106" s="5" t="s">
        <v>60</v>
      </c>
      <c r="C106" s="5">
        <v>1.0</v>
      </c>
      <c r="D106" s="5">
        <v>2.0</v>
      </c>
      <c r="E106" s="5">
        <v>2.0</v>
      </c>
      <c r="F106" s="5">
        <v>410.0</v>
      </c>
      <c r="G106" s="5">
        <v>10.0</v>
      </c>
      <c r="H106" s="5">
        <v>5.0</v>
      </c>
      <c r="I106" s="5">
        <v>1.0</v>
      </c>
      <c r="J106" s="5">
        <f t="shared" si="1"/>
        <v>4.1</v>
      </c>
      <c r="K106" s="5" t="s">
        <v>57</v>
      </c>
      <c r="L106" s="6">
        <v>42952.0</v>
      </c>
      <c r="M106" s="9"/>
      <c r="N106" s="9"/>
      <c r="O106" s="5" t="s">
        <v>25</v>
      </c>
      <c r="P106" s="5" t="s">
        <v>26</v>
      </c>
      <c r="AA106" s="27"/>
      <c r="AB106" s="7"/>
      <c r="AC106" s="7"/>
      <c r="AD106" s="8"/>
    </row>
    <row r="107" ht="15.75" customHeight="1">
      <c r="B107" s="5" t="s">
        <v>60</v>
      </c>
      <c r="C107" s="5">
        <v>1.0</v>
      </c>
      <c r="D107" s="5">
        <v>2.0</v>
      </c>
      <c r="E107" s="5">
        <v>1.0</v>
      </c>
      <c r="F107" s="5">
        <v>480.0</v>
      </c>
      <c r="G107" s="5">
        <v>1.5</v>
      </c>
      <c r="H107" s="5">
        <v>5.0</v>
      </c>
      <c r="I107" s="5">
        <v>1.0</v>
      </c>
      <c r="J107" s="5">
        <f t="shared" si="1"/>
        <v>4.8</v>
      </c>
      <c r="K107" s="5" t="s">
        <v>55</v>
      </c>
      <c r="L107" s="6">
        <v>42952.0</v>
      </c>
      <c r="M107" s="9"/>
      <c r="N107" s="9"/>
      <c r="O107" s="5" t="s">
        <v>25</v>
      </c>
      <c r="P107" s="5" t="s">
        <v>26</v>
      </c>
      <c r="AA107" s="27"/>
      <c r="AB107" s="7"/>
      <c r="AC107" s="7"/>
      <c r="AD107" s="8"/>
    </row>
    <row r="108" ht="15.75" customHeight="1">
      <c r="B108" s="5" t="s">
        <v>60</v>
      </c>
      <c r="C108" s="5">
        <v>1.0</v>
      </c>
      <c r="D108" s="13">
        <v>1.0</v>
      </c>
      <c r="E108" s="5">
        <v>1.0</v>
      </c>
      <c r="F108" s="5">
        <v>288.0</v>
      </c>
      <c r="G108" s="5">
        <v>150.0</v>
      </c>
      <c r="H108" s="5">
        <v>5.0</v>
      </c>
      <c r="I108" s="5">
        <v>5.0</v>
      </c>
      <c r="J108" s="5">
        <f t="shared" si="1"/>
        <v>2.88</v>
      </c>
      <c r="K108" s="5" t="s">
        <v>57</v>
      </c>
      <c r="L108" s="6">
        <v>42952.0</v>
      </c>
      <c r="M108" s="9"/>
      <c r="N108" s="9"/>
      <c r="O108" s="5" t="s">
        <v>25</v>
      </c>
      <c r="AA108" s="27"/>
      <c r="AB108" s="7"/>
      <c r="AC108" s="7"/>
      <c r="AD108" s="8"/>
    </row>
    <row r="109" ht="15.75" customHeight="1">
      <c r="B109" s="5" t="s">
        <v>60</v>
      </c>
      <c r="C109" s="5">
        <v>1.0</v>
      </c>
      <c r="D109" s="13">
        <v>3.0</v>
      </c>
      <c r="E109" s="5">
        <v>1.0</v>
      </c>
      <c r="F109" s="5">
        <v>376.0</v>
      </c>
      <c r="G109" s="5">
        <v>100.0</v>
      </c>
      <c r="H109" s="5">
        <v>5.0</v>
      </c>
      <c r="I109" s="5">
        <v>1.0</v>
      </c>
      <c r="J109" s="5">
        <f t="shared" si="1"/>
        <v>3.76</v>
      </c>
      <c r="L109" s="6">
        <v>42952.0</v>
      </c>
      <c r="M109" s="9"/>
      <c r="N109" s="9"/>
      <c r="O109" s="5" t="s">
        <v>25</v>
      </c>
      <c r="AA109" s="27"/>
      <c r="AB109" s="9"/>
      <c r="AC109" s="9"/>
      <c r="AD109" s="8"/>
    </row>
    <row r="110" ht="15.75" customHeight="1">
      <c r="B110" s="5" t="s">
        <v>60</v>
      </c>
      <c r="C110" s="5">
        <v>1.0</v>
      </c>
      <c r="D110" s="13">
        <v>3.0</v>
      </c>
      <c r="E110" s="5">
        <v>1.0</v>
      </c>
      <c r="F110" s="5">
        <v>240.0</v>
      </c>
      <c r="G110" s="5">
        <v>150.0</v>
      </c>
      <c r="H110" s="5">
        <v>2.0</v>
      </c>
      <c r="I110" s="5">
        <v>5.0</v>
      </c>
      <c r="J110" s="5">
        <f t="shared" si="1"/>
        <v>2.4</v>
      </c>
      <c r="K110" s="5" t="s">
        <v>55</v>
      </c>
      <c r="L110" s="6">
        <v>42952.0</v>
      </c>
      <c r="M110" s="9"/>
      <c r="N110" s="9"/>
      <c r="O110" s="5" t="s">
        <v>25</v>
      </c>
      <c r="AA110" s="27"/>
      <c r="AB110" s="9"/>
      <c r="AC110" s="7"/>
      <c r="AD110" s="8"/>
    </row>
    <row r="111" ht="15.75" customHeight="1">
      <c r="B111" s="5" t="s">
        <v>60</v>
      </c>
      <c r="C111" s="5">
        <v>1.0</v>
      </c>
      <c r="D111" s="13">
        <v>3.0</v>
      </c>
      <c r="E111" s="5">
        <v>1.0</v>
      </c>
      <c r="F111" s="5">
        <v>240.0</v>
      </c>
      <c r="G111" s="5">
        <v>460.0</v>
      </c>
      <c r="H111" s="5">
        <v>2.0</v>
      </c>
      <c r="I111" s="5">
        <v>5.0</v>
      </c>
      <c r="J111" s="5">
        <f t="shared" si="1"/>
        <v>2.4</v>
      </c>
      <c r="L111" s="6">
        <v>42952.0</v>
      </c>
      <c r="M111" s="9"/>
      <c r="N111" s="9"/>
      <c r="O111" s="5" t="s">
        <v>25</v>
      </c>
      <c r="AA111" s="27"/>
      <c r="AB111" s="7"/>
      <c r="AC111" s="7"/>
      <c r="AD111" s="8"/>
    </row>
    <row r="112" ht="15.75" customHeight="1">
      <c r="D112" s="5">
        <v>4.0</v>
      </c>
      <c r="J112" s="5">
        <f t="shared" si="1"/>
        <v>0</v>
      </c>
      <c r="L112" s="6">
        <v>42952.0</v>
      </c>
      <c r="M112" s="9"/>
      <c r="N112" s="9"/>
      <c r="O112" s="5" t="s">
        <v>25</v>
      </c>
      <c r="AA112" s="27"/>
      <c r="AB112" s="7"/>
      <c r="AC112" s="7"/>
      <c r="AD112" s="8"/>
    </row>
    <row r="113" ht="15.75" customHeight="1">
      <c r="D113" s="5">
        <v>5.0</v>
      </c>
      <c r="J113" s="5">
        <f t="shared" si="1"/>
        <v>0</v>
      </c>
      <c r="L113" s="6">
        <v>42952.0</v>
      </c>
      <c r="M113" s="9"/>
      <c r="N113" s="9"/>
      <c r="O113" s="5" t="s">
        <v>25</v>
      </c>
      <c r="P113" s="5" t="s">
        <v>43</v>
      </c>
      <c r="AA113" s="27"/>
      <c r="AB113" s="7"/>
      <c r="AC113" s="7"/>
      <c r="AD113" s="8"/>
    </row>
    <row r="114" ht="15.75" customHeight="1">
      <c r="D114" s="5">
        <v>6.0</v>
      </c>
      <c r="J114" s="5">
        <f t="shared" si="1"/>
        <v>0</v>
      </c>
      <c r="L114" s="6">
        <v>42952.0</v>
      </c>
      <c r="M114" s="9"/>
      <c r="N114" s="9"/>
      <c r="O114" s="5" t="s">
        <v>25</v>
      </c>
      <c r="P114" s="5" t="s">
        <v>43</v>
      </c>
      <c r="AA114" s="27"/>
      <c r="AB114" s="7"/>
      <c r="AC114" s="7"/>
      <c r="AD114" s="8"/>
    </row>
    <row r="115" ht="15.75" customHeight="1">
      <c r="D115" s="5">
        <v>7.0</v>
      </c>
      <c r="J115" s="5">
        <f t="shared" si="1"/>
        <v>0</v>
      </c>
      <c r="L115" s="6">
        <v>42952.0</v>
      </c>
      <c r="M115" s="9"/>
      <c r="N115" s="9"/>
      <c r="O115" s="5" t="s">
        <v>25</v>
      </c>
      <c r="AA115" s="27"/>
      <c r="AB115" s="7"/>
      <c r="AC115" s="7"/>
      <c r="AD115" s="8"/>
    </row>
    <row r="116" ht="15.75" customHeight="1">
      <c r="B116" s="5" t="s">
        <v>60</v>
      </c>
      <c r="C116" s="5">
        <v>1.0</v>
      </c>
      <c r="D116" s="5">
        <v>8.0</v>
      </c>
      <c r="E116" s="5">
        <v>2.0</v>
      </c>
      <c r="F116" s="5">
        <v>486.0</v>
      </c>
      <c r="G116" s="5">
        <v>380.0</v>
      </c>
      <c r="H116" s="5">
        <v>2.0</v>
      </c>
      <c r="I116" s="5">
        <v>1.0</v>
      </c>
      <c r="J116" s="5">
        <f t="shared" si="1"/>
        <v>4.86</v>
      </c>
      <c r="L116" s="6">
        <v>42952.0</v>
      </c>
      <c r="M116" s="7"/>
      <c r="N116" s="7"/>
      <c r="O116" s="8" t="s">
        <v>25</v>
      </c>
      <c r="AA116" s="27"/>
      <c r="AB116" s="7"/>
      <c r="AC116" s="7"/>
      <c r="AD116" s="8"/>
    </row>
    <row r="117" ht="15.75" customHeight="1">
      <c r="B117" s="5" t="s">
        <v>60</v>
      </c>
      <c r="C117" s="5">
        <v>1.0</v>
      </c>
      <c r="D117" s="5">
        <v>8.0</v>
      </c>
      <c r="E117" s="5">
        <v>1.0</v>
      </c>
      <c r="F117" s="5">
        <v>486.0</v>
      </c>
      <c r="G117" s="5">
        <v>150.0</v>
      </c>
      <c r="H117" s="5">
        <v>2.0</v>
      </c>
      <c r="I117" s="5">
        <v>1.0</v>
      </c>
      <c r="J117" s="5">
        <f t="shared" si="1"/>
        <v>4.86</v>
      </c>
      <c r="K117" s="5" t="s">
        <v>55</v>
      </c>
      <c r="L117" s="6">
        <v>42952.0</v>
      </c>
      <c r="M117" s="7"/>
      <c r="N117" s="7"/>
      <c r="O117" s="8" t="s">
        <v>25</v>
      </c>
      <c r="T117" s="8"/>
      <c r="U117" s="8"/>
      <c r="V117" s="8"/>
      <c r="W117" s="8"/>
      <c r="X117" s="8"/>
      <c r="Y117" s="8"/>
      <c r="Z117" s="8"/>
      <c r="AA117" s="27"/>
      <c r="AB117" s="7"/>
      <c r="AC117" s="7"/>
      <c r="AD117" s="8"/>
      <c r="AE117" s="8"/>
    </row>
    <row r="118" ht="15.75" customHeight="1">
      <c r="D118" s="5">
        <v>10.0</v>
      </c>
      <c r="J118" s="5">
        <f t="shared" si="1"/>
        <v>0</v>
      </c>
      <c r="L118" s="6">
        <v>42952.0</v>
      </c>
      <c r="M118" s="9"/>
      <c r="N118" s="9"/>
      <c r="O118" s="5" t="s">
        <v>25</v>
      </c>
      <c r="S118" s="8"/>
      <c r="T118" s="8"/>
      <c r="U118" s="8"/>
      <c r="V118" s="8"/>
      <c r="W118" s="8"/>
      <c r="X118" s="8"/>
      <c r="Y118" s="8"/>
      <c r="Z118" s="8"/>
      <c r="AA118" s="27"/>
      <c r="AB118" s="7"/>
      <c r="AC118" s="7"/>
      <c r="AD118" s="8"/>
      <c r="AE118" s="8"/>
    </row>
    <row r="119" ht="15.75" customHeight="1">
      <c r="D119" s="5">
        <v>9.0</v>
      </c>
      <c r="J119" s="5">
        <f t="shared" si="1"/>
        <v>0</v>
      </c>
      <c r="L119" s="6">
        <v>42952.0</v>
      </c>
      <c r="M119" s="7"/>
      <c r="N119" s="7"/>
      <c r="O119" s="8" t="s">
        <v>25</v>
      </c>
      <c r="S119" s="8"/>
      <c r="AA119" s="27"/>
      <c r="AB119" s="9"/>
      <c r="AC119" s="9"/>
      <c r="AD119" s="8"/>
    </row>
    <row r="120" ht="15.75" customHeight="1">
      <c r="B120" s="5" t="s">
        <v>60</v>
      </c>
      <c r="C120" s="5">
        <v>1.0</v>
      </c>
      <c r="D120" s="13">
        <v>12.0</v>
      </c>
      <c r="E120" s="5">
        <v>2.0</v>
      </c>
      <c r="F120" s="5">
        <v>50.0</v>
      </c>
      <c r="G120" s="5">
        <v>-30.0</v>
      </c>
      <c r="H120" s="5">
        <v>5.0</v>
      </c>
      <c r="I120" s="5">
        <v>1.0</v>
      </c>
      <c r="J120" s="5">
        <f t="shared" si="1"/>
        <v>0.5</v>
      </c>
      <c r="K120" s="5" t="s">
        <v>72</v>
      </c>
      <c r="L120" s="6">
        <v>42952.0</v>
      </c>
      <c r="M120" s="7"/>
      <c r="N120" s="7"/>
      <c r="O120" s="8" t="s">
        <v>25</v>
      </c>
      <c r="AA120" s="27"/>
      <c r="AB120" s="9"/>
      <c r="AC120" s="9"/>
      <c r="AD120" s="8"/>
    </row>
    <row r="121" ht="15.75" customHeight="1">
      <c r="B121" s="5" t="s">
        <v>60</v>
      </c>
      <c r="C121" s="5">
        <v>1.0</v>
      </c>
      <c r="D121" s="13">
        <v>12.0</v>
      </c>
      <c r="E121" s="5">
        <v>2.0</v>
      </c>
      <c r="F121" s="5">
        <v>146.0</v>
      </c>
      <c r="G121" s="5">
        <v>0.0</v>
      </c>
      <c r="H121" s="5">
        <v>5.0</v>
      </c>
      <c r="I121" s="5">
        <v>1.0</v>
      </c>
      <c r="J121" s="5">
        <f t="shared" si="1"/>
        <v>1.46</v>
      </c>
      <c r="L121" s="6">
        <v>42952.0</v>
      </c>
      <c r="M121" s="7"/>
      <c r="N121" s="7"/>
      <c r="O121" s="8" t="s">
        <v>25</v>
      </c>
      <c r="AA121" s="27"/>
      <c r="AB121" s="7"/>
      <c r="AC121" s="7"/>
      <c r="AD121" s="8"/>
    </row>
    <row r="122" ht="15.75" customHeight="1">
      <c r="B122" s="5" t="s">
        <v>60</v>
      </c>
      <c r="C122" s="5">
        <v>1.0</v>
      </c>
      <c r="D122" s="13">
        <v>11.0</v>
      </c>
      <c r="E122" s="5">
        <v>2.0</v>
      </c>
      <c r="F122" s="5">
        <v>324.0</v>
      </c>
      <c r="G122" s="5">
        <v>0.0</v>
      </c>
      <c r="H122" s="5">
        <v>5.0</v>
      </c>
      <c r="I122" s="5">
        <v>2.0</v>
      </c>
      <c r="J122" s="5">
        <f t="shared" si="1"/>
        <v>3.24</v>
      </c>
      <c r="K122" s="5" t="s">
        <v>73</v>
      </c>
      <c r="L122" s="6">
        <v>42952.0</v>
      </c>
      <c r="M122" s="9"/>
      <c r="N122" s="9"/>
      <c r="O122" s="8" t="s">
        <v>25</v>
      </c>
      <c r="AA122" s="27"/>
      <c r="AB122" s="7"/>
      <c r="AC122" s="7"/>
      <c r="AD122" s="8"/>
    </row>
    <row r="123" ht="15.75" customHeight="1">
      <c r="B123" s="5" t="s">
        <v>60</v>
      </c>
      <c r="C123" s="22">
        <v>1.0</v>
      </c>
      <c r="D123" s="35">
        <v>11.0</v>
      </c>
      <c r="E123" s="22">
        <v>1.0</v>
      </c>
      <c r="F123" s="22">
        <v>505.0</v>
      </c>
      <c r="G123" s="22">
        <v>0.0</v>
      </c>
      <c r="H123" s="22">
        <v>3.0</v>
      </c>
      <c r="I123" s="22">
        <v>1.0</v>
      </c>
      <c r="J123" s="5">
        <f t="shared" si="1"/>
        <v>5.05</v>
      </c>
      <c r="K123" s="22"/>
      <c r="L123" s="36">
        <v>42952.0</v>
      </c>
      <c r="M123" s="33"/>
      <c r="N123" s="33"/>
      <c r="O123" s="25" t="s">
        <v>25</v>
      </c>
      <c r="P123" s="22"/>
      <c r="AA123" s="27"/>
      <c r="AB123" s="9"/>
      <c r="AC123" s="9"/>
      <c r="AD123" s="8"/>
    </row>
    <row r="124" ht="15.75" customHeight="1">
      <c r="B124" s="5" t="s">
        <v>60</v>
      </c>
      <c r="C124" s="5">
        <v>1.0</v>
      </c>
      <c r="D124" s="5">
        <v>2.0</v>
      </c>
      <c r="E124" s="5">
        <v>1.0</v>
      </c>
      <c r="F124" s="5">
        <v>515.0</v>
      </c>
      <c r="G124" s="5">
        <v>487.0</v>
      </c>
      <c r="H124" s="5">
        <v>2.0</v>
      </c>
      <c r="I124" s="5">
        <v>1.0</v>
      </c>
      <c r="J124" s="5">
        <f t="shared" si="1"/>
        <v>5.15</v>
      </c>
      <c r="K124" s="5" t="s">
        <v>57</v>
      </c>
      <c r="L124" s="27">
        <v>43036.0</v>
      </c>
      <c r="M124" s="7"/>
      <c r="N124" s="7"/>
      <c r="O124" s="8" t="s">
        <v>25</v>
      </c>
      <c r="P124" s="8" t="s">
        <v>26</v>
      </c>
      <c r="AA124" s="27"/>
      <c r="AB124" s="9"/>
      <c r="AC124" s="9"/>
      <c r="AD124" s="8"/>
    </row>
    <row r="125" ht="15.75" customHeight="1">
      <c r="B125" s="5" t="s">
        <v>60</v>
      </c>
      <c r="C125" s="5">
        <v>1.0</v>
      </c>
      <c r="D125" s="5">
        <v>2.0</v>
      </c>
      <c r="E125" s="5">
        <v>1.0</v>
      </c>
      <c r="F125" s="5">
        <v>515.0</v>
      </c>
      <c r="G125" s="5">
        <v>487.0</v>
      </c>
      <c r="H125" s="5">
        <v>2.0</v>
      </c>
      <c r="I125" s="5">
        <v>1.0</v>
      </c>
      <c r="J125" s="5">
        <f t="shared" si="1"/>
        <v>5.15</v>
      </c>
      <c r="K125" s="5" t="s">
        <v>55</v>
      </c>
      <c r="L125" s="27">
        <v>43036.0</v>
      </c>
      <c r="M125" s="7"/>
      <c r="N125" s="7"/>
      <c r="O125" s="8" t="s">
        <v>25</v>
      </c>
      <c r="P125" s="8" t="s">
        <v>26</v>
      </c>
      <c r="AA125" s="27"/>
      <c r="AB125" s="9"/>
      <c r="AC125" s="9"/>
      <c r="AD125" s="8"/>
    </row>
    <row r="126" ht="15.75" customHeight="1">
      <c r="B126" s="5" t="s">
        <v>60</v>
      </c>
      <c r="C126" s="5">
        <v>1.0</v>
      </c>
      <c r="D126" s="5">
        <v>2.0</v>
      </c>
      <c r="E126" s="5">
        <v>1.0</v>
      </c>
      <c r="F126" s="5">
        <v>291.0</v>
      </c>
      <c r="G126" s="5">
        <v>9.0</v>
      </c>
      <c r="H126" s="5">
        <v>8.0</v>
      </c>
      <c r="I126" s="5">
        <v>1.0</v>
      </c>
      <c r="J126" s="5">
        <f t="shared" si="1"/>
        <v>2.91</v>
      </c>
      <c r="K126" s="5" t="s">
        <v>55</v>
      </c>
      <c r="L126" s="27">
        <v>43036.0</v>
      </c>
      <c r="M126" s="7"/>
      <c r="N126" s="7"/>
      <c r="O126" s="8" t="s">
        <v>25</v>
      </c>
      <c r="P126" s="8" t="s">
        <v>26</v>
      </c>
      <c r="AA126" s="27"/>
      <c r="AB126" s="9"/>
      <c r="AC126" s="9"/>
      <c r="AD126" s="8"/>
    </row>
    <row r="127" ht="15.75" customHeight="1">
      <c r="B127" s="5" t="s">
        <v>60</v>
      </c>
      <c r="C127" s="5">
        <v>1.0</v>
      </c>
      <c r="D127" s="13">
        <v>1.0</v>
      </c>
      <c r="E127" s="5">
        <v>1.0</v>
      </c>
      <c r="F127" s="5">
        <v>318.0</v>
      </c>
      <c r="G127" s="5">
        <v>130.0</v>
      </c>
      <c r="H127" s="5">
        <v>5.0</v>
      </c>
      <c r="I127" s="5">
        <v>1.0</v>
      </c>
      <c r="J127" s="5">
        <f t="shared" si="1"/>
        <v>3.18</v>
      </c>
      <c r="K127" s="5" t="s">
        <v>57</v>
      </c>
      <c r="L127" s="27">
        <v>43036.0</v>
      </c>
      <c r="M127" s="9"/>
      <c r="N127" s="9"/>
      <c r="O127" s="8" t="s">
        <v>25</v>
      </c>
      <c r="P127" s="8" t="s">
        <v>26</v>
      </c>
      <c r="AA127" s="27"/>
      <c r="AB127" s="7"/>
      <c r="AC127" s="7"/>
      <c r="AD127" s="8"/>
      <c r="AE127" s="8"/>
    </row>
    <row r="128" ht="15.75" customHeight="1">
      <c r="B128" s="5" t="s">
        <v>60</v>
      </c>
      <c r="C128" s="5">
        <v>1.0</v>
      </c>
      <c r="D128" s="13">
        <v>1.0</v>
      </c>
      <c r="E128" s="5">
        <v>1.0</v>
      </c>
      <c r="F128" s="5">
        <v>402.0</v>
      </c>
      <c r="G128" s="5">
        <v>123.0</v>
      </c>
      <c r="H128" s="5">
        <v>5.0</v>
      </c>
      <c r="I128" s="5">
        <v>1.0</v>
      </c>
      <c r="J128" s="5">
        <f t="shared" si="1"/>
        <v>4.02</v>
      </c>
      <c r="K128" s="5" t="s">
        <v>57</v>
      </c>
      <c r="L128" s="27">
        <v>43036.0</v>
      </c>
      <c r="M128" s="9"/>
      <c r="N128" s="9"/>
      <c r="O128" s="8" t="s">
        <v>25</v>
      </c>
      <c r="P128" s="8" t="s">
        <v>26</v>
      </c>
      <c r="AA128" s="27"/>
      <c r="AB128" s="7"/>
      <c r="AC128" s="7"/>
      <c r="AD128" s="8"/>
      <c r="AE128" s="8"/>
    </row>
    <row r="129" ht="15.75" customHeight="1">
      <c r="B129" s="5" t="s">
        <v>60</v>
      </c>
      <c r="C129" s="5">
        <v>1.0</v>
      </c>
      <c r="D129" s="13">
        <v>1.0</v>
      </c>
      <c r="E129" s="5">
        <v>1.0</v>
      </c>
      <c r="F129" s="5">
        <v>587.0</v>
      </c>
      <c r="G129" s="5">
        <v>173.0</v>
      </c>
      <c r="H129" s="5">
        <v>5.0</v>
      </c>
      <c r="I129" s="5">
        <v>1.0</v>
      </c>
      <c r="J129" s="5">
        <f t="shared" si="1"/>
        <v>5.87</v>
      </c>
      <c r="K129" s="5" t="s">
        <v>57</v>
      </c>
      <c r="L129" s="27">
        <v>43036.0</v>
      </c>
      <c r="M129" s="9"/>
      <c r="N129" s="9"/>
      <c r="O129" s="8" t="s">
        <v>25</v>
      </c>
      <c r="P129" s="8" t="s">
        <v>26</v>
      </c>
    </row>
    <row r="130" ht="15.75" customHeight="1">
      <c r="B130" s="5" t="s">
        <v>60</v>
      </c>
      <c r="C130" s="5">
        <v>1.0</v>
      </c>
      <c r="D130" s="13">
        <v>1.0</v>
      </c>
      <c r="E130" s="5">
        <v>2.0</v>
      </c>
      <c r="F130" s="5">
        <v>234.0</v>
      </c>
      <c r="G130" s="5">
        <v>84.0</v>
      </c>
      <c r="H130" s="5">
        <v>5.0</v>
      </c>
      <c r="I130" s="5">
        <v>1.0</v>
      </c>
      <c r="J130" s="5">
        <f t="shared" si="1"/>
        <v>2.34</v>
      </c>
      <c r="L130" s="27">
        <v>43036.0</v>
      </c>
      <c r="M130" s="9"/>
      <c r="N130" s="9"/>
      <c r="O130" s="8" t="s">
        <v>25</v>
      </c>
      <c r="P130" s="8" t="s">
        <v>26</v>
      </c>
    </row>
    <row r="131" ht="15.75" customHeight="1">
      <c r="B131" s="5" t="s">
        <v>60</v>
      </c>
      <c r="C131" s="5">
        <v>1.0</v>
      </c>
      <c r="D131" s="13">
        <v>1.0</v>
      </c>
      <c r="E131" s="5">
        <v>2.0</v>
      </c>
      <c r="F131" s="5">
        <v>234.0</v>
      </c>
      <c r="G131" s="5">
        <v>51.0</v>
      </c>
      <c r="H131" s="5">
        <v>5.0</v>
      </c>
      <c r="I131" s="5">
        <v>1.0</v>
      </c>
      <c r="J131" s="5">
        <f t="shared" si="1"/>
        <v>2.34</v>
      </c>
      <c r="L131" s="27">
        <v>43036.0</v>
      </c>
      <c r="M131" s="9"/>
      <c r="N131" s="9"/>
      <c r="O131" s="8" t="s">
        <v>25</v>
      </c>
      <c r="P131" s="8" t="s">
        <v>26</v>
      </c>
    </row>
    <row r="132" ht="15.75" customHeight="1">
      <c r="B132" s="5" t="s">
        <v>60</v>
      </c>
      <c r="C132" s="5">
        <v>1.0</v>
      </c>
      <c r="D132" s="13">
        <v>3.0</v>
      </c>
      <c r="E132" s="5">
        <v>1.0</v>
      </c>
      <c r="F132" s="5">
        <v>523.0</v>
      </c>
      <c r="G132" s="5">
        <v>183.0</v>
      </c>
      <c r="H132" s="5">
        <v>2.0</v>
      </c>
      <c r="I132" s="5">
        <v>1.0</v>
      </c>
      <c r="J132" s="5">
        <f t="shared" si="1"/>
        <v>5.23</v>
      </c>
      <c r="K132" s="5" t="s">
        <v>57</v>
      </c>
      <c r="L132" s="27">
        <v>43036.0</v>
      </c>
      <c r="M132" s="7"/>
      <c r="N132" s="7"/>
      <c r="O132" s="8" t="s">
        <v>25</v>
      </c>
    </row>
    <row r="133" ht="15.75" customHeight="1">
      <c r="B133" s="5" t="s">
        <v>60</v>
      </c>
      <c r="C133" s="5">
        <v>1.0</v>
      </c>
      <c r="D133" s="13">
        <v>3.0</v>
      </c>
      <c r="E133" s="5">
        <v>1.0</v>
      </c>
      <c r="F133" s="5">
        <v>523.0</v>
      </c>
      <c r="G133" s="5">
        <v>183.0</v>
      </c>
      <c r="H133" s="5">
        <v>2.0</v>
      </c>
      <c r="I133" s="5">
        <v>1.0</v>
      </c>
      <c r="J133" s="5">
        <f t="shared" si="1"/>
        <v>5.23</v>
      </c>
      <c r="K133" s="5" t="s">
        <v>57</v>
      </c>
      <c r="L133" s="27">
        <v>43036.0</v>
      </c>
      <c r="M133" s="7"/>
      <c r="N133" s="7"/>
      <c r="O133" s="8" t="s">
        <v>25</v>
      </c>
    </row>
    <row r="134" ht="15.75" customHeight="1">
      <c r="B134" s="5" t="s">
        <v>60</v>
      </c>
      <c r="C134" s="5">
        <v>1.0</v>
      </c>
      <c r="D134" s="13">
        <v>3.0</v>
      </c>
      <c r="E134" s="5">
        <v>1.0</v>
      </c>
      <c r="F134" s="5">
        <v>350.0</v>
      </c>
      <c r="G134" s="5">
        <v>147.0</v>
      </c>
      <c r="H134" s="5">
        <v>2.0</v>
      </c>
      <c r="I134" s="5">
        <v>1.0</v>
      </c>
      <c r="J134" s="5">
        <f t="shared" si="1"/>
        <v>3.5</v>
      </c>
      <c r="K134" s="5" t="s">
        <v>57</v>
      </c>
      <c r="L134" s="27">
        <v>43036.0</v>
      </c>
      <c r="M134" s="7"/>
      <c r="N134" s="7"/>
      <c r="O134" s="8" t="s">
        <v>25</v>
      </c>
    </row>
    <row r="135" ht="15.75" customHeight="1">
      <c r="B135" s="5" t="s">
        <v>60</v>
      </c>
      <c r="C135" s="5">
        <v>1.0</v>
      </c>
      <c r="D135" s="13">
        <v>4.0</v>
      </c>
      <c r="E135" s="5">
        <v>2.0</v>
      </c>
      <c r="F135" s="5">
        <v>596.0</v>
      </c>
      <c r="G135" s="5">
        <v>182.0</v>
      </c>
      <c r="H135" s="5">
        <v>1.0</v>
      </c>
      <c r="I135" s="5">
        <v>1.0</v>
      </c>
      <c r="J135" s="5">
        <f t="shared" si="1"/>
        <v>5.96</v>
      </c>
      <c r="L135" s="27">
        <v>43036.0</v>
      </c>
      <c r="M135" s="9"/>
      <c r="N135" s="9"/>
      <c r="O135" s="8" t="s">
        <v>25</v>
      </c>
    </row>
    <row r="136" ht="15.75" customHeight="1">
      <c r="D136" s="5">
        <v>5.0</v>
      </c>
      <c r="J136" s="5">
        <f t="shared" si="1"/>
        <v>0</v>
      </c>
      <c r="L136" s="27">
        <v>43036.0</v>
      </c>
      <c r="M136" s="7"/>
      <c r="N136" s="7"/>
      <c r="O136" s="8" t="s">
        <v>25</v>
      </c>
      <c r="P136" s="8" t="s">
        <v>62</v>
      </c>
    </row>
    <row r="137" ht="15.75" customHeight="1">
      <c r="D137" s="5">
        <v>6.0</v>
      </c>
      <c r="J137" s="5">
        <f t="shared" si="1"/>
        <v>0</v>
      </c>
      <c r="L137" s="27">
        <v>43036.0</v>
      </c>
      <c r="M137" s="7"/>
      <c r="N137" s="7"/>
      <c r="O137" s="8" t="s">
        <v>25</v>
      </c>
      <c r="P137" s="8" t="s">
        <v>59</v>
      </c>
    </row>
    <row r="138" ht="15.75" customHeight="1">
      <c r="D138" s="5">
        <v>7.0</v>
      </c>
      <c r="J138" s="5">
        <f t="shared" si="1"/>
        <v>0</v>
      </c>
      <c r="L138" s="27">
        <v>43036.0</v>
      </c>
      <c r="M138" s="7"/>
      <c r="N138" s="7"/>
      <c r="O138" s="8" t="s">
        <v>25</v>
      </c>
      <c r="P138" s="8" t="s">
        <v>61</v>
      </c>
    </row>
    <row r="139" ht="15.75" customHeight="1">
      <c r="D139" s="5">
        <v>8.0</v>
      </c>
      <c r="J139" s="5">
        <f t="shared" si="1"/>
        <v>0</v>
      </c>
      <c r="L139" s="27">
        <v>43036.0</v>
      </c>
      <c r="M139" s="7"/>
      <c r="N139" s="7"/>
      <c r="O139" s="8" t="s">
        <v>25</v>
      </c>
      <c r="P139" s="8" t="s">
        <v>62</v>
      </c>
    </row>
    <row r="140" ht="15.75" customHeight="1">
      <c r="D140" s="5">
        <v>10.0</v>
      </c>
      <c r="J140" s="5">
        <f t="shared" si="1"/>
        <v>0</v>
      </c>
      <c r="L140" s="27">
        <v>43036.0</v>
      </c>
      <c r="M140" s="7"/>
      <c r="N140" s="7"/>
      <c r="O140" s="8" t="s">
        <v>25</v>
      </c>
      <c r="P140" s="8" t="s">
        <v>59</v>
      </c>
    </row>
    <row r="141" ht="15.75" customHeight="1">
      <c r="D141" s="5">
        <v>9.0</v>
      </c>
      <c r="J141" s="5">
        <f t="shared" si="1"/>
        <v>0</v>
      </c>
      <c r="L141" s="27">
        <v>43036.0</v>
      </c>
      <c r="M141" s="9"/>
      <c r="N141" s="9"/>
      <c r="O141" s="8" t="s">
        <v>25</v>
      </c>
      <c r="P141" s="5" t="s">
        <v>63</v>
      </c>
    </row>
    <row r="142" ht="15.75" customHeight="1">
      <c r="B142" s="5" t="s">
        <v>60</v>
      </c>
      <c r="C142" s="5">
        <v>1.0</v>
      </c>
      <c r="D142" s="13">
        <v>12.0</v>
      </c>
      <c r="E142" s="5">
        <v>1.0</v>
      </c>
      <c r="F142" s="5">
        <v>309.0</v>
      </c>
      <c r="G142" s="5">
        <v>253.0</v>
      </c>
      <c r="H142" s="5">
        <v>2.0</v>
      </c>
      <c r="I142" s="5">
        <v>1.0</v>
      </c>
      <c r="J142" s="5">
        <f t="shared" si="1"/>
        <v>3.09</v>
      </c>
      <c r="K142" s="5" t="s">
        <v>57</v>
      </c>
      <c r="L142" s="27">
        <v>43036.0</v>
      </c>
      <c r="M142" s="7"/>
      <c r="N142" s="7"/>
      <c r="O142" s="8" t="s">
        <v>25</v>
      </c>
    </row>
    <row r="143" ht="15.75" customHeight="1">
      <c r="B143" s="22"/>
      <c r="C143" s="22"/>
      <c r="D143" s="22">
        <v>11.0</v>
      </c>
      <c r="E143" s="22"/>
      <c r="F143" s="22"/>
      <c r="G143" s="22"/>
      <c r="H143" s="22"/>
      <c r="I143" s="22"/>
      <c r="J143" s="5">
        <f t="shared" si="1"/>
        <v>0</v>
      </c>
      <c r="K143" s="22"/>
      <c r="L143" s="29">
        <v>43036.0</v>
      </c>
      <c r="M143" s="33"/>
      <c r="N143" s="33"/>
      <c r="O143" s="25" t="s">
        <v>25</v>
      </c>
      <c r="P143" s="22"/>
    </row>
    <row r="144" ht="15.75" customHeight="1">
      <c r="B144" s="5" t="s">
        <v>60</v>
      </c>
      <c r="C144" s="5">
        <v>1.0</v>
      </c>
      <c r="D144" s="5">
        <v>2.0</v>
      </c>
      <c r="E144" s="5">
        <v>2.0</v>
      </c>
      <c r="F144" s="5">
        <v>1070.0</v>
      </c>
      <c r="G144" s="5">
        <v>500.0</v>
      </c>
      <c r="H144" s="5">
        <v>2.0</v>
      </c>
      <c r="I144" s="5">
        <v>1.0</v>
      </c>
      <c r="J144" s="5">
        <f t="shared" si="1"/>
        <v>10.7</v>
      </c>
      <c r="L144" s="27">
        <v>43043.0</v>
      </c>
      <c r="M144" s="7"/>
      <c r="N144" s="7"/>
      <c r="O144" s="8" t="s">
        <v>25</v>
      </c>
      <c r="P144" s="8" t="s">
        <v>26</v>
      </c>
    </row>
    <row r="145" ht="15.75" customHeight="1">
      <c r="B145" s="5" t="s">
        <v>60</v>
      </c>
      <c r="C145" s="5">
        <v>1.0</v>
      </c>
      <c r="D145" s="5">
        <v>2.0</v>
      </c>
      <c r="E145" s="5">
        <v>1.0</v>
      </c>
      <c r="F145" s="5">
        <v>566.0</v>
      </c>
      <c r="G145" s="5">
        <v>260.0</v>
      </c>
      <c r="H145" s="5">
        <v>2.0</v>
      </c>
      <c r="I145" s="5">
        <v>1.0</v>
      </c>
      <c r="J145" s="5">
        <f t="shared" si="1"/>
        <v>5.66</v>
      </c>
      <c r="K145" s="5" t="s">
        <v>57</v>
      </c>
      <c r="L145" s="27">
        <v>43043.0</v>
      </c>
      <c r="M145" s="7"/>
      <c r="N145" s="7"/>
      <c r="O145" s="8" t="s">
        <v>25</v>
      </c>
      <c r="P145" s="8" t="s">
        <v>26</v>
      </c>
    </row>
    <row r="146" ht="15.75" customHeight="1">
      <c r="B146" s="5" t="s">
        <v>60</v>
      </c>
      <c r="C146" s="5">
        <v>1.0</v>
      </c>
      <c r="D146" s="5">
        <v>2.0</v>
      </c>
      <c r="E146" s="5">
        <v>1.0</v>
      </c>
      <c r="F146" s="5">
        <v>784.0</v>
      </c>
      <c r="G146" s="5">
        <v>300.0</v>
      </c>
      <c r="H146" s="5">
        <v>2.0</v>
      </c>
      <c r="I146" s="5">
        <v>1.0</v>
      </c>
      <c r="J146" s="5">
        <f t="shared" si="1"/>
        <v>7.84</v>
      </c>
      <c r="L146" s="27">
        <v>43043.0</v>
      </c>
      <c r="M146" s="7"/>
      <c r="N146" s="7"/>
      <c r="O146" s="8" t="s">
        <v>25</v>
      </c>
      <c r="P146" s="8" t="s">
        <v>26</v>
      </c>
    </row>
    <row r="147" ht="15.75" customHeight="1">
      <c r="B147" s="5" t="s">
        <v>60</v>
      </c>
      <c r="C147" s="5">
        <v>1.0</v>
      </c>
      <c r="D147" s="5">
        <v>2.0</v>
      </c>
      <c r="E147" s="5">
        <v>2.0</v>
      </c>
      <c r="F147" s="5">
        <v>336.0</v>
      </c>
      <c r="G147" s="5">
        <v>170.0</v>
      </c>
      <c r="H147" s="5">
        <v>5.0</v>
      </c>
      <c r="I147" s="5">
        <v>1.0</v>
      </c>
      <c r="J147" s="5">
        <f t="shared" si="1"/>
        <v>3.36</v>
      </c>
      <c r="K147" s="5" t="s">
        <v>55</v>
      </c>
      <c r="L147" s="27">
        <v>43043.0</v>
      </c>
      <c r="M147" s="7"/>
      <c r="N147" s="7"/>
      <c r="O147" s="8" t="s">
        <v>25</v>
      </c>
      <c r="P147" s="8" t="s">
        <v>26</v>
      </c>
    </row>
    <row r="148" ht="15.75" customHeight="1">
      <c r="B148" s="5" t="s">
        <v>60</v>
      </c>
      <c r="C148" s="5">
        <v>1.0</v>
      </c>
      <c r="D148" s="5">
        <v>2.0</v>
      </c>
      <c r="E148" s="5">
        <v>1.0</v>
      </c>
      <c r="F148" s="5">
        <v>1110.0</v>
      </c>
      <c r="G148" s="5">
        <v>100.0</v>
      </c>
      <c r="H148" s="5">
        <v>5.0</v>
      </c>
      <c r="I148" s="5">
        <v>1.0</v>
      </c>
      <c r="J148" s="5">
        <f t="shared" si="1"/>
        <v>11.1</v>
      </c>
      <c r="K148" s="5" t="s">
        <v>55</v>
      </c>
      <c r="L148" s="27">
        <v>43043.0</v>
      </c>
      <c r="M148" s="7"/>
      <c r="N148" s="7"/>
      <c r="O148" s="8" t="s">
        <v>25</v>
      </c>
      <c r="P148" s="8" t="s">
        <v>26</v>
      </c>
    </row>
    <row r="149" ht="15.75" customHeight="1">
      <c r="B149" s="5" t="s">
        <v>60</v>
      </c>
      <c r="C149" s="5">
        <v>1.0</v>
      </c>
      <c r="D149" s="13">
        <v>1.0</v>
      </c>
      <c r="E149" s="5">
        <v>1.0</v>
      </c>
      <c r="F149" s="5">
        <v>701.0</v>
      </c>
      <c r="G149" s="5">
        <v>137.0</v>
      </c>
      <c r="H149" s="5">
        <v>5.0</v>
      </c>
      <c r="I149" s="5">
        <v>1.0</v>
      </c>
      <c r="J149" s="5">
        <f t="shared" si="1"/>
        <v>7.01</v>
      </c>
      <c r="K149" s="5" t="s">
        <v>57</v>
      </c>
      <c r="L149" s="27">
        <v>43043.0</v>
      </c>
      <c r="M149" s="7"/>
      <c r="N149" s="7"/>
      <c r="O149" s="8" t="s">
        <v>25</v>
      </c>
    </row>
    <row r="150" ht="15.75" customHeight="1">
      <c r="B150" s="5" t="s">
        <v>60</v>
      </c>
      <c r="C150" s="5">
        <v>1.0</v>
      </c>
      <c r="D150" s="13">
        <v>1.0</v>
      </c>
      <c r="E150" s="5">
        <v>1.0</v>
      </c>
      <c r="F150" s="5">
        <v>759.0</v>
      </c>
      <c r="G150" s="5">
        <v>50.0</v>
      </c>
      <c r="H150" s="5">
        <v>5.0</v>
      </c>
      <c r="I150" s="5">
        <v>1.0</v>
      </c>
      <c r="J150" s="5">
        <f t="shared" si="1"/>
        <v>7.59</v>
      </c>
      <c r="K150" s="5" t="s">
        <v>55</v>
      </c>
      <c r="L150" s="27">
        <v>43043.0</v>
      </c>
      <c r="M150" s="7"/>
      <c r="N150" s="7"/>
      <c r="O150" s="8" t="s">
        <v>25</v>
      </c>
    </row>
    <row r="151" ht="15.75" customHeight="1">
      <c r="B151" s="5" t="s">
        <v>60</v>
      </c>
      <c r="C151" s="5">
        <v>1.0</v>
      </c>
      <c r="D151" s="13">
        <v>1.0</v>
      </c>
      <c r="E151" s="5">
        <v>1.0</v>
      </c>
      <c r="F151" s="5">
        <v>559.0</v>
      </c>
      <c r="G151" s="5">
        <v>130.0</v>
      </c>
      <c r="H151" s="5">
        <v>5.0</v>
      </c>
      <c r="I151" s="5">
        <v>1.0</v>
      </c>
      <c r="J151" s="5">
        <f t="shared" si="1"/>
        <v>5.59</v>
      </c>
      <c r="K151" s="5" t="s">
        <v>57</v>
      </c>
      <c r="L151" s="27">
        <v>43043.0</v>
      </c>
      <c r="M151" s="7"/>
      <c r="N151" s="7"/>
      <c r="O151" s="8" t="s">
        <v>25</v>
      </c>
    </row>
    <row r="152" ht="15.75" customHeight="1">
      <c r="B152" s="5" t="s">
        <v>60</v>
      </c>
      <c r="C152" s="5">
        <v>1.0</v>
      </c>
      <c r="D152" s="13">
        <v>3.0</v>
      </c>
      <c r="E152" s="5">
        <v>1.0</v>
      </c>
      <c r="F152" s="5">
        <v>391.0</v>
      </c>
      <c r="G152" s="5">
        <v>500.0</v>
      </c>
      <c r="H152" s="5">
        <v>2.0</v>
      </c>
      <c r="I152" s="5">
        <v>1.0</v>
      </c>
      <c r="J152" s="5">
        <f t="shared" si="1"/>
        <v>3.91</v>
      </c>
      <c r="K152" s="5" t="s">
        <v>57</v>
      </c>
      <c r="L152" s="27">
        <v>43043.0</v>
      </c>
      <c r="M152" s="9"/>
      <c r="N152" s="9"/>
      <c r="O152" s="8" t="s">
        <v>25</v>
      </c>
      <c r="P152" s="5" t="s">
        <v>64</v>
      </c>
    </row>
    <row r="153" ht="15.75" customHeight="1">
      <c r="B153" s="5" t="s">
        <v>60</v>
      </c>
      <c r="C153" s="5">
        <v>1.0</v>
      </c>
      <c r="D153" s="13">
        <v>3.0</v>
      </c>
      <c r="E153" s="5">
        <v>1.0</v>
      </c>
      <c r="F153" s="5">
        <v>391.0</v>
      </c>
      <c r="G153" s="5">
        <v>360.0</v>
      </c>
      <c r="H153" s="5">
        <v>2.0</v>
      </c>
      <c r="I153" s="5">
        <v>1.0</v>
      </c>
      <c r="J153" s="5">
        <f t="shared" si="1"/>
        <v>3.91</v>
      </c>
      <c r="K153" s="5" t="s">
        <v>55</v>
      </c>
      <c r="L153" s="27">
        <v>43043.0</v>
      </c>
      <c r="M153" s="9"/>
      <c r="N153" s="9"/>
      <c r="O153" s="8" t="s">
        <v>25</v>
      </c>
      <c r="P153" s="5" t="s">
        <v>64</v>
      </c>
    </row>
    <row r="154" ht="15.75" customHeight="1">
      <c r="D154" s="5">
        <v>4.0</v>
      </c>
      <c r="J154" s="5">
        <f t="shared" si="1"/>
        <v>0</v>
      </c>
      <c r="L154" s="27">
        <v>43043.0</v>
      </c>
      <c r="M154" s="7"/>
      <c r="N154" s="7"/>
      <c r="O154" s="8" t="s">
        <v>25</v>
      </c>
    </row>
    <row r="155" ht="15.75" customHeight="1">
      <c r="D155" s="5">
        <v>5.0</v>
      </c>
      <c r="J155" s="5">
        <f t="shared" si="1"/>
        <v>0</v>
      </c>
      <c r="L155" s="27">
        <v>43043.0</v>
      </c>
      <c r="M155" s="9"/>
      <c r="N155" s="9"/>
      <c r="O155" s="8" t="s">
        <v>25</v>
      </c>
    </row>
    <row r="156" ht="15.75" customHeight="1">
      <c r="D156" s="5">
        <v>6.0</v>
      </c>
      <c r="J156" s="5">
        <f t="shared" si="1"/>
        <v>0</v>
      </c>
      <c r="L156" s="27">
        <v>43043.0</v>
      </c>
      <c r="M156" s="7"/>
      <c r="N156" s="7"/>
      <c r="O156" s="8" t="s">
        <v>25</v>
      </c>
    </row>
    <row r="157" ht="15.75" customHeight="1">
      <c r="D157" s="5">
        <v>7.0</v>
      </c>
      <c r="J157" s="5">
        <f t="shared" si="1"/>
        <v>0</v>
      </c>
      <c r="L157" s="27">
        <v>43043.0</v>
      </c>
      <c r="M157" s="7"/>
      <c r="N157" s="7"/>
      <c r="O157" s="8" t="s">
        <v>25</v>
      </c>
    </row>
    <row r="158" ht="15.75" customHeight="1">
      <c r="D158" s="5">
        <v>12.0</v>
      </c>
      <c r="J158" s="5">
        <f t="shared" si="1"/>
        <v>0</v>
      </c>
      <c r="L158" s="27">
        <v>43043.0</v>
      </c>
      <c r="M158" s="7"/>
      <c r="N158" s="7"/>
      <c r="O158" s="8" t="s">
        <v>25</v>
      </c>
    </row>
    <row r="159" ht="15.75" customHeight="1">
      <c r="B159" s="5" t="s">
        <v>60</v>
      </c>
      <c r="C159" s="5">
        <v>1.0</v>
      </c>
      <c r="D159" s="5">
        <v>8.0</v>
      </c>
      <c r="E159" s="5">
        <v>2.0</v>
      </c>
      <c r="F159" s="5">
        <v>688.0</v>
      </c>
      <c r="G159" s="5">
        <v>103.0</v>
      </c>
      <c r="H159" s="5">
        <v>2.0</v>
      </c>
      <c r="I159" s="5">
        <v>1.0</v>
      </c>
      <c r="J159" s="5">
        <f t="shared" si="1"/>
        <v>6.88</v>
      </c>
      <c r="L159" s="27">
        <v>43043.0</v>
      </c>
      <c r="M159" s="9"/>
      <c r="N159" s="9"/>
      <c r="O159" s="8" t="s">
        <v>25</v>
      </c>
    </row>
    <row r="160" ht="15.75" customHeight="1">
      <c r="B160" s="5" t="s">
        <v>60</v>
      </c>
      <c r="C160" s="5">
        <v>1.0</v>
      </c>
      <c r="D160" s="13">
        <v>11.0</v>
      </c>
      <c r="E160" s="5">
        <v>1.0</v>
      </c>
      <c r="F160" s="5">
        <v>496.0</v>
      </c>
      <c r="G160" s="5">
        <v>90.0</v>
      </c>
      <c r="H160" s="5">
        <v>5.0</v>
      </c>
      <c r="I160" s="5">
        <v>1.0</v>
      </c>
      <c r="J160" s="5">
        <f t="shared" si="1"/>
        <v>4.96</v>
      </c>
      <c r="K160" s="5" t="s">
        <v>55</v>
      </c>
      <c r="L160" s="27">
        <v>43043.0</v>
      </c>
      <c r="M160" s="9"/>
      <c r="N160" s="9"/>
      <c r="O160" s="8" t="s">
        <v>25</v>
      </c>
    </row>
    <row r="161" ht="15.75" customHeight="1">
      <c r="D161" s="5">
        <v>10.0</v>
      </c>
      <c r="J161" s="5">
        <f t="shared" si="1"/>
        <v>0</v>
      </c>
      <c r="L161" s="27">
        <v>43043.0</v>
      </c>
      <c r="M161" s="7"/>
      <c r="N161" s="7"/>
      <c r="O161" s="8" t="s">
        <v>25</v>
      </c>
    </row>
    <row r="162" ht="15.75" customHeight="1">
      <c r="B162" s="22" t="s">
        <v>60</v>
      </c>
      <c r="C162" s="22">
        <v>1.0</v>
      </c>
      <c r="D162" s="22">
        <v>9.0</v>
      </c>
      <c r="E162" s="22">
        <v>1.0</v>
      </c>
      <c r="F162" s="22">
        <v>820.0</v>
      </c>
      <c r="G162" s="22">
        <v>212.0</v>
      </c>
      <c r="H162" s="22">
        <v>2.0</v>
      </c>
      <c r="I162" s="22">
        <v>1.0</v>
      </c>
      <c r="J162" s="5">
        <f t="shared" si="1"/>
        <v>8.2</v>
      </c>
      <c r="K162" s="22"/>
      <c r="L162" s="29">
        <v>43043.0</v>
      </c>
      <c r="M162" s="24"/>
      <c r="N162" s="24"/>
      <c r="O162" s="25" t="s">
        <v>25</v>
      </c>
      <c r="P162" s="22"/>
    </row>
    <row r="163" ht="15.75" customHeight="1">
      <c r="D163" s="5">
        <v>12.0</v>
      </c>
      <c r="J163" s="5">
        <f t="shared" si="1"/>
        <v>0</v>
      </c>
      <c r="L163" s="27">
        <v>43085.0</v>
      </c>
      <c r="M163" s="7"/>
      <c r="N163" s="7"/>
      <c r="O163" s="8" t="s">
        <v>25</v>
      </c>
      <c r="P163" s="8"/>
    </row>
    <row r="164" ht="15.75" customHeight="1">
      <c r="D164" s="5">
        <v>11.0</v>
      </c>
      <c r="J164" s="5">
        <f t="shared" si="1"/>
        <v>0</v>
      </c>
      <c r="L164" s="27">
        <v>43085.0</v>
      </c>
      <c r="M164" s="7"/>
      <c r="N164" s="7"/>
      <c r="O164" s="8" t="s">
        <v>25</v>
      </c>
      <c r="P164" s="8"/>
    </row>
    <row r="165" ht="15.75" customHeight="1">
      <c r="B165" s="5" t="s">
        <v>60</v>
      </c>
      <c r="C165" s="5">
        <v>1.0</v>
      </c>
      <c r="D165" s="5">
        <v>2.0</v>
      </c>
      <c r="E165" s="5">
        <v>1.0</v>
      </c>
      <c r="F165" s="5">
        <v>370.0</v>
      </c>
      <c r="G165" s="5">
        <v>18.0</v>
      </c>
      <c r="H165" s="5">
        <v>8.0</v>
      </c>
      <c r="I165" s="5">
        <v>1.0</v>
      </c>
      <c r="J165" s="5">
        <f t="shared" si="1"/>
        <v>3.7</v>
      </c>
      <c r="K165" s="5" t="s">
        <v>55</v>
      </c>
      <c r="L165" s="27">
        <v>43085.0</v>
      </c>
      <c r="M165" s="7"/>
      <c r="N165" s="7"/>
      <c r="O165" s="8" t="s">
        <v>66</v>
      </c>
      <c r="P165" s="8"/>
    </row>
    <row r="166" ht="15.75" customHeight="1">
      <c r="B166" s="5" t="s">
        <v>60</v>
      </c>
      <c r="C166" s="5">
        <v>1.0</v>
      </c>
      <c r="D166" s="5">
        <v>2.0</v>
      </c>
      <c r="E166" s="5">
        <v>2.0</v>
      </c>
      <c r="F166" s="5">
        <v>450.0</v>
      </c>
      <c r="G166" s="5">
        <v>170.0</v>
      </c>
      <c r="H166" s="5">
        <v>5.0</v>
      </c>
      <c r="I166" s="5">
        <v>1.0</v>
      </c>
      <c r="J166" s="5">
        <f t="shared" si="1"/>
        <v>4.5</v>
      </c>
      <c r="L166" s="27">
        <v>43085.0</v>
      </c>
      <c r="M166" s="7"/>
      <c r="N166" s="7"/>
      <c r="O166" s="8" t="s">
        <v>66</v>
      </c>
      <c r="P166" s="8"/>
    </row>
    <row r="167" ht="15.75" customHeight="1">
      <c r="B167" s="5" t="s">
        <v>60</v>
      </c>
      <c r="C167" s="5">
        <v>1.0</v>
      </c>
      <c r="D167" s="5">
        <v>2.0</v>
      </c>
      <c r="E167" s="5">
        <v>1.0</v>
      </c>
      <c r="F167" s="5">
        <v>450.0</v>
      </c>
      <c r="G167" s="5">
        <v>220.0</v>
      </c>
      <c r="H167" s="5">
        <v>7.0</v>
      </c>
      <c r="I167" s="5">
        <v>1.0</v>
      </c>
      <c r="J167" s="5">
        <f t="shared" si="1"/>
        <v>4.5</v>
      </c>
      <c r="K167" s="5" t="s">
        <v>57</v>
      </c>
      <c r="L167" s="27">
        <v>43085.0</v>
      </c>
      <c r="M167" s="7"/>
      <c r="N167" s="7"/>
      <c r="O167" s="8" t="s">
        <v>66</v>
      </c>
      <c r="P167" s="8"/>
    </row>
    <row r="168" ht="15.75" customHeight="1">
      <c r="D168" s="5">
        <v>1.0</v>
      </c>
      <c r="J168" s="5">
        <f t="shared" si="1"/>
        <v>0</v>
      </c>
      <c r="L168" s="27">
        <v>43085.0</v>
      </c>
      <c r="M168" s="7"/>
      <c r="N168" s="7"/>
      <c r="O168" s="8" t="s">
        <v>66</v>
      </c>
      <c r="P168" s="8"/>
    </row>
    <row r="169" ht="15.75" customHeight="1">
      <c r="D169" s="5">
        <v>3.0</v>
      </c>
      <c r="J169" s="5">
        <f t="shared" si="1"/>
        <v>0</v>
      </c>
      <c r="L169" s="34">
        <v>43085.0</v>
      </c>
      <c r="M169" s="9"/>
      <c r="N169" s="9"/>
      <c r="O169" s="5" t="s">
        <v>66</v>
      </c>
    </row>
    <row r="170" ht="15.75" customHeight="1">
      <c r="D170" s="5">
        <v>4.0</v>
      </c>
      <c r="J170" s="5">
        <f t="shared" si="1"/>
        <v>0</v>
      </c>
      <c r="L170" s="34">
        <v>43085.0</v>
      </c>
      <c r="M170" s="9"/>
      <c r="N170" s="9"/>
      <c r="O170" s="8" t="s">
        <v>67</v>
      </c>
    </row>
    <row r="171" ht="15.75" customHeight="1">
      <c r="D171" s="5">
        <v>5.0</v>
      </c>
      <c r="J171" s="5">
        <f t="shared" si="1"/>
        <v>0</v>
      </c>
      <c r="L171" s="34">
        <v>43085.0</v>
      </c>
      <c r="M171" s="9"/>
      <c r="N171" s="9"/>
      <c r="O171" s="8" t="s">
        <v>25</v>
      </c>
      <c r="P171" s="5" t="s">
        <v>26</v>
      </c>
    </row>
    <row r="172" ht="15.75" customHeight="1">
      <c r="D172" s="5">
        <v>6.0</v>
      </c>
      <c r="J172" s="5">
        <f t="shared" si="1"/>
        <v>0</v>
      </c>
      <c r="L172" s="34">
        <v>43085.0</v>
      </c>
      <c r="M172" s="9"/>
      <c r="N172" s="9"/>
      <c r="O172" s="8" t="s">
        <v>25</v>
      </c>
      <c r="P172" s="5" t="s">
        <v>63</v>
      </c>
    </row>
    <row r="173" ht="15.75" customHeight="1">
      <c r="B173" s="5" t="s">
        <v>60</v>
      </c>
      <c r="C173" s="5">
        <v>1.0</v>
      </c>
      <c r="D173" s="5">
        <v>7.0</v>
      </c>
      <c r="E173" s="5">
        <v>2.0</v>
      </c>
      <c r="F173" s="5">
        <v>492.0</v>
      </c>
      <c r="G173" s="5">
        <v>342.0</v>
      </c>
      <c r="H173" s="5">
        <v>2.0</v>
      </c>
      <c r="I173" s="5">
        <v>1.0</v>
      </c>
      <c r="J173" s="5">
        <f t="shared" si="1"/>
        <v>4.92</v>
      </c>
      <c r="L173" s="34">
        <v>43085.0</v>
      </c>
      <c r="M173" s="9"/>
      <c r="N173" s="9"/>
      <c r="O173" s="8" t="s">
        <v>68</v>
      </c>
    </row>
    <row r="174" ht="15.75" customHeight="1">
      <c r="D174" s="5">
        <v>8.0</v>
      </c>
      <c r="J174" s="5">
        <f t="shared" si="1"/>
        <v>0</v>
      </c>
      <c r="L174" s="34">
        <v>43085.0</v>
      </c>
      <c r="M174" s="9"/>
      <c r="N174" s="9"/>
      <c r="O174" s="8" t="s">
        <v>25</v>
      </c>
      <c r="P174" s="5" t="s">
        <v>63</v>
      </c>
    </row>
    <row r="175" ht="15.75" customHeight="1">
      <c r="D175" s="5">
        <v>10.0</v>
      </c>
      <c r="J175" s="5">
        <f t="shared" si="1"/>
        <v>0</v>
      </c>
      <c r="L175" s="34">
        <v>43085.0</v>
      </c>
      <c r="M175" s="9"/>
      <c r="N175" s="9"/>
      <c r="O175" s="8" t="s">
        <v>68</v>
      </c>
    </row>
    <row r="176" ht="15.75" customHeight="1">
      <c r="B176" s="22"/>
      <c r="C176" s="22"/>
      <c r="D176" s="22">
        <v>9.0</v>
      </c>
      <c r="E176" s="22"/>
      <c r="F176" s="22"/>
      <c r="G176" s="22"/>
      <c r="H176" s="22"/>
      <c r="I176" s="22"/>
      <c r="J176" s="5">
        <f t="shared" si="1"/>
        <v>0</v>
      </c>
      <c r="K176" s="22"/>
      <c r="L176" s="37">
        <v>43085.0</v>
      </c>
      <c r="M176" s="33"/>
      <c r="N176" s="33"/>
      <c r="O176" s="25" t="s">
        <v>25</v>
      </c>
      <c r="P176" s="22" t="s">
        <v>63</v>
      </c>
    </row>
    <row r="177" ht="15.75" customHeight="1">
      <c r="B177" s="5" t="s">
        <v>60</v>
      </c>
      <c r="C177" s="5">
        <v>1.0</v>
      </c>
      <c r="D177" s="5">
        <v>2.0</v>
      </c>
      <c r="E177" s="5">
        <v>1.0</v>
      </c>
      <c r="F177" s="5">
        <v>401.0</v>
      </c>
      <c r="G177" s="5">
        <v>0.0</v>
      </c>
      <c r="H177" s="5">
        <v>8.0</v>
      </c>
      <c r="I177" s="5">
        <v>1.0</v>
      </c>
      <c r="J177" s="5">
        <f t="shared" si="1"/>
        <v>4.01</v>
      </c>
      <c r="K177" s="5" t="s">
        <v>55</v>
      </c>
      <c r="L177" s="27">
        <v>43120.0</v>
      </c>
      <c r="M177" s="7"/>
      <c r="N177" s="7"/>
      <c r="O177" s="8" t="s">
        <v>25</v>
      </c>
      <c r="P177" s="8" t="s">
        <v>63</v>
      </c>
    </row>
    <row r="178" ht="15.75" customHeight="1">
      <c r="B178" s="5" t="s">
        <v>60</v>
      </c>
      <c r="C178" s="5">
        <v>1.0</v>
      </c>
      <c r="D178" s="13">
        <v>1.0</v>
      </c>
      <c r="E178" s="5">
        <v>1.0</v>
      </c>
      <c r="F178" s="5">
        <v>365.0</v>
      </c>
      <c r="G178" s="5">
        <v>65.0</v>
      </c>
      <c r="H178" s="5">
        <v>5.0</v>
      </c>
      <c r="I178" s="5">
        <v>1.0</v>
      </c>
      <c r="J178" s="5">
        <f t="shared" si="1"/>
        <v>3.65</v>
      </c>
      <c r="L178" s="27">
        <v>43120.0</v>
      </c>
      <c r="M178" s="9"/>
      <c r="N178" s="9"/>
      <c r="O178" s="8" t="s">
        <v>25</v>
      </c>
    </row>
    <row r="179" ht="15.75" customHeight="1">
      <c r="B179" s="5" t="s">
        <v>60</v>
      </c>
      <c r="C179" s="5">
        <v>1.0</v>
      </c>
      <c r="D179" s="13">
        <v>3.0</v>
      </c>
      <c r="E179" s="5">
        <v>1.0</v>
      </c>
      <c r="F179" s="5">
        <v>402.0</v>
      </c>
      <c r="G179" s="5">
        <v>94.0</v>
      </c>
      <c r="H179" s="5">
        <v>2.0</v>
      </c>
      <c r="I179" s="5">
        <v>1.0</v>
      </c>
      <c r="J179" s="5">
        <f t="shared" si="1"/>
        <v>4.02</v>
      </c>
      <c r="K179" s="5" t="s">
        <v>55</v>
      </c>
      <c r="L179" s="27">
        <v>43120.0</v>
      </c>
      <c r="M179" s="7"/>
      <c r="N179" s="7"/>
      <c r="O179" s="8" t="s">
        <v>25</v>
      </c>
    </row>
    <row r="180" ht="15.75" customHeight="1">
      <c r="B180" s="5" t="s">
        <v>60</v>
      </c>
      <c r="C180" s="5">
        <v>1.0</v>
      </c>
      <c r="D180" s="13">
        <v>3.0</v>
      </c>
      <c r="E180" s="5">
        <v>1.0</v>
      </c>
      <c r="F180" s="5">
        <v>402.0</v>
      </c>
      <c r="G180" s="5">
        <v>197.0</v>
      </c>
      <c r="H180" s="5">
        <v>2.0</v>
      </c>
      <c r="I180" s="5">
        <v>1.0</v>
      </c>
      <c r="J180" s="5">
        <f t="shared" si="1"/>
        <v>4.02</v>
      </c>
      <c r="K180" s="5" t="s">
        <v>57</v>
      </c>
      <c r="L180" s="27">
        <v>43120.0</v>
      </c>
      <c r="M180" s="7"/>
      <c r="N180" s="7"/>
      <c r="O180" s="8" t="s">
        <v>25</v>
      </c>
    </row>
    <row r="181" ht="15.75" customHeight="1">
      <c r="D181" s="5">
        <v>4.0</v>
      </c>
      <c r="J181" s="5">
        <f t="shared" si="1"/>
        <v>0</v>
      </c>
      <c r="L181" s="27">
        <v>43120.0</v>
      </c>
      <c r="M181" s="9"/>
      <c r="N181" s="9"/>
      <c r="O181" s="8" t="s">
        <v>25</v>
      </c>
    </row>
    <row r="182" ht="15.75" customHeight="1">
      <c r="D182" s="5">
        <v>5.0</v>
      </c>
      <c r="J182" s="5">
        <f t="shared" si="1"/>
        <v>0</v>
      </c>
      <c r="L182" s="27">
        <v>43120.0</v>
      </c>
      <c r="M182" s="7"/>
      <c r="N182" s="7"/>
      <c r="O182" s="8" t="s">
        <v>25</v>
      </c>
      <c r="P182" s="8" t="s">
        <v>69</v>
      </c>
    </row>
    <row r="183" ht="15.75" customHeight="1">
      <c r="D183" s="5">
        <v>6.0</v>
      </c>
      <c r="J183" s="5">
        <f t="shared" si="1"/>
        <v>0</v>
      </c>
      <c r="L183" s="27">
        <v>43120.0</v>
      </c>
      <c r="M183" s="7"/>
      <c r="N183" s="7"/>
      <c r="O183" s="8" t="s">
        <v>25</v>
      </c>
      <c r="P183" s="8" t="s">
        <v>69</v>
      </c>
    </row>
    <row r="184" ht="15.75" customHeight="1">
      <c r="D184" s="5">
        <v>7.0</v>
      </c>
      <c r="J184" s="5">
        <f t="shared" si="1"/>
        <v>0</v>
      </c>
      <c r="L184" s="27">
        <v>43120.0</v>
      </c>
      <c r="M184" s="7"/>
      <c r="N184" s="7"/>
      <c r="O184" s="8" t="s">
        <v>25</v>
      </c>
    </row>
    <row r="185" ht="15.75" customHeight="1">
      <c r="D185" s="5">
        <v>8.0</v>
      </c>
      <c r="J185" s="5">
        <f t="shared" si="1"/>
        <v>0</v>
      </c>
      <c r="L185" s="27">
        <v>43120.0</v>
      </c>
      <c r="M185" s="7"/>
      <c r="N185" s="7"/>
      <c r="O185" s="8" t="s">
        <v>25</v>
      </c>
    </row>
    <row r="186" ht="15.75" customHeight="1">
      <c r="D186" s="5">
        <v>10.0</v>
      </c>
      <c r="J186" s="5">
        <f t="shared" si="1"/>
        <v>0</v>
      </c>
      <c r="L186" s="27">
        <v>43120.0</v>
      </c>
      <c r="M186" s="9"/>
      <c r="N186" s="9"/>
      <c r="O186" s="8" t="s">
        <v>25</v>
      </c>
    </row>
    <row r="187" ht="15.75" customHeight="1">
      <c r="D187" s="5">
        <v>9.0</v>
      </c>
      <c r="J187" s="5">
        <f t="shared" si="1"/>
        <v>0</v>
      </c>
      <c r="L187" s="27">
        <v>43120.0</v>
      </c>
      <c r="M187" s="9"/>
      <c r="N187" s="9"/>
      <c r="O187" s="8" t="s">
        <v>25</v>
      </c>
    </row>
    <row r="188" ht="15.75" customHeight="1">
      <c r="D188" s="5">
        <v>12.0</v>
      </c>
      <c r="J188" s="5">
        <f t="shared" si="1"/>
        <v>0</v>
      </c>
      <c r="L188" s="27">
        <v>43120.0</v>
      </c>
      <c r="M188" s="7"/>
      <c r="N188" s="7"/>
      <c r="O188" s="8" t="s">
        <v>25</v>
      </c>
    </row>
    <row r="189" ht="15.75" customHeight="1">
      <c r="B189" s="22"/>
      <c r="C189" s="22"/>
      <c r="D189" s="22">
        <v>11.0</v>
      </c>
      <c r="E189" s="22"/>
      <c r="F189" s="22"/>
      <c r="G189" s="22"/>
      <c r="H189" s="22"/>
      <c r="I189" s="22"/>
      <c r="J189" s="5">
        <f t="shared" si="1"/>
        <v>0</v>
      </c>
      <c r="K189" s="22"/>
      <c r="L189" s="29">
        <v>43120.0</v>
      </c>
      <c r="M189" s="24"/>
      <c r="N189" s="24"/>
      <c r="O189" s="25" t="s">
        <v>25</v>
      </c>
      <c r="P189" s="22"/>
    </row>
    <row r="190" ht="15.75" customHeight="1">
      <c r="B190" s="5" t="s">
        <v>60</v>
      </c>
      <c r="C190" s="5">
        <v>1.0</v>
      </c>
      <c r="D190" s="5">
        <v>2.0</v>
      </c>
      <c r="E190" s="5">
        <v>3.0</v>
      </c>
      <c r="F190" s="5">
        <v>447.0</v>
      </c>
      <c r="G190" s="5">
        <v>140.0</v>
      </c>
      <c r="H190" s="5">
        <v>5.0</v>
      </c>
      <c r="I190" s="5">
        <v>5.0</v>
      </c>
      <c r="J190" s="5">
        <f t="shared" si="1"/>
        <v>4.47</v>
      </c>
      <c r="L190" s="27">
        <v>43134.0</v>
      </c>
      <c r="M190" s="7"/>
      <c r="N190" s="7"/>
      <c r="O190" s="8" t="s">
        <v>70</v>
      </c>
    </row>
    <row r="191" ht="15.75" customHeight="1">
      <c r="B191" s="5" t="s">
        <v>60</v>
      </c>
      <c r="C191" s="5">
        <v>1.0</v>
      </c>
      <c r="D191" s="13">
        <v>1.0</v>
      </c>
      <c r="E191" s="5">
        <v>1.0</v>
      </c>
      <c r="F191" s="5">
        <v>237.0</v>
      </c>
      <c r="G191" s="5">
        <v>117.0</v>
      </c>
      <c r="H191" s="5">
        <v>5.0</v>
      </c>
      <c r="I191" s="5">
        <v>1.0</v>
      </c>
      <c r="J191" s="5">
        <f t="shared" si="1"/>
        <v>2.37</v>
      </c>
      <c r="K191" s="5" t="s">
        <v>57</v>
      </c>
      <c r="L191" s="27">
        <v>43134.0</v>
      </c>
      <c r="M191" s="7"/>
      <c r="N191" s="7"/>
      <c r="O191" s="8" t="s">
        <v>25</v>
      </c>
    </row>
    <row r="192" ht="15.75" customHeight="1">
      <c r="B192" s="5" t="s">
        <v>60</v>
      </c>
      <c r="C192" s="5">
        <v>1.0</v>
      </c>
      <c r="D192" s="13">
        <v>1.0</v>
      </c>
      <c r="E192" s="5">
        <v>1.0</v>
      </c>
      <c r="F192" s="5">
        <v>237.0</v>
      </c>
      <c r="G192" s="5">
        <v>113.0</v>
      </c>
      <c r="H192" s="5">
        <v>5.0</v>
      </c>
      <c r="I192" s="5">
        <v>1.0</v>
      </c>
      <c r="J192" s="5">
        <f t="shared" si="1"/>
        <v>2.37</v>
      </c>
      <c r="L192" s="27">
        <v>43134.0</v>
      </c>
      <c r="M192" s="7"/>
      <c r="N192" s="7"/>
      <c r="O192" s="8" t="s">
        <v>25</v>
      </c>
    </row>
    <row r="193" ht="15.75" customHeight="1">
      <c r="B193" s="5" t="s">
        <v>60</v>
      </c>
      <c r="C193" s="5">
        <v>1.0</v>
      </c>
      <c r="D193" s="13">
        <v>1.0</v>
      </c>
      <c r="E193" s="5">
        <v>1.0</v>
      </c>
      <c r="F193" s="5">
        <v>266.0</v>
      </c>
      <c r="G193" s="5">
        <v>120.0</v>
      </c>
      <c r="H193" s="5">
        <v>5.0</v>
      </c>
      <c r="I193" s="5">
        <v>1.0</v>
      </c>
      <c r="J193" s="5">
        <f t="shared" si="1"/>
        <v>2.66</v>
      </c>
      <c r="K193" s="5" t="s">
        <v>55</v>
      </c>
      <c r="L193" s="27">
        <v>43134.0</v>
      </c>
      <c r="M193" s="7"/>
      <c r="N193" s="7"/>
      <c r="O193" s="8" t="s">
        <v>25</v>
      </c>
    </row>
    <row r="194" ht="15.75" customHeight="1">
      <c r="B194" s="5" t="s">
        <v>60</v>
      </c>
      <c r="C194" s="5">
        <v>1.0</v>
      </c>
      <c r="D194" s="13">
        <v>3.0</v>
      </c>
      <c r="E194" s="5">
        <v>1.0</v>
      </c>
      <c r="F194" s="5">
        <v>177.0</v>
      </c>
      <c r="G194" s="5">
        <v>201.0</v>
      </c>
      <c r="H194" s="5">
        <v>2.0</v>
      </c>
      <c r="I194" s="5">
        <v>1.0</v>
      </c>
      <c r="J194" s="5">
        <f t="shared" si="1"/>
        <v>1.77</v>
      </c>
      <c r="L194" s="27">
        <v>43134.0</v>
      </c>
      <c r="M194" s="9"/>
      <c r="N194" s="9"/>
      <c r="O194" s="8" t="s">
        <v>25</v>
      </c>
    </row>
    <row r="195" ht="15.75" customHeight="1">
      <c r="D195" s="5">
        <v>4.0</v>
      </c>
      <c r="J195" s="5">
        <f t="shared" si="1"/>
        <v>0</v>
      </c>
      <c r="L195" s="27">
        <v>43134.0</v>
      </c>
      <c r="M195" s="9"/>
      <c r="N195" s="9"/>
      <c r="O195" s="8" t="s">
        <v>25</v>
      </c>
    </row>
    <row r="196" ht="15.75" customHeight="1">
      <c r="D196" s="5">
        <v>5.0</v>
      </c>
      <c r="J196" s="5">
        <f t="shared" si="1"/>
        <v>0</v>
      </c>
      <c r="L196" s="27">
        <v>43134.0</v>
      </c>
      <c r="M196" s="7"/>
      <c r="N196" s="7"/>
      <c r="O196" s="8" t="s">
        <v>25</v>
      </c>
    </row>
    <row r="197" ht="15.75" customHeight="1">
      <c r="D197" s="5">
        <v>6.0</v>
      </c>
      <c r="J197" s="5">
        <f t="shared" si="1"/>
        <v>0</v>
      </c>
      <c r="L197" s="27">
        <v>43134.0</v>
      </c>
      <c r="M197" s="7"/>
      <c r="N197" s="7"/>
      <c r="O197" s="8" t="s">
        <v>25</v>
      </c>
    </row>
    <row r="198" ht="15.75" customHeight="1">
      <c r="D198" s="5">
        <v>7.0</v>
      </c>
      <c r="J198" s="5">
        <f t="shared" si="1"/>
        <v>0</v>
      </c>
      <c r="L198" s="27">
        <v>43134.0</v>
      </c>
      <c r="M198" s="9"/>
      <c r="N198" s="9"/>
      <c r="O198" s="8" t="s">
        <v>25</v>
      </c>
    </row>
    <row r="199" ht="15.75" customHeight="1">
      <c r="D199" s="5">
        <v>8.0</v>
      </c>
      <c r="J199" s="5">
        <f t="shared" si="1"/>
        <v>0</v>
      </c>
      <c r="L199" s="27">
        <v>43134.0</v>
      </c>
      <c r="M199" s="9"/>
      <c r="N199" s="9"/>
      <c r="O199" s="8" t="s">
        <v>25</v>
      </c>
    </row>
    <row r="200" ht="15.75" customHeight="1">
      <c r="D200" s="5">
        <v>10.0</v>
      </c>
      <c r="J200" s="5">
        <f t="shared" si="1"/>
        <v>0</v>
      </c>
      <c r="L200" s="27">
        <v>43134.0</v>
      </c>
      <c r="M200" s="7"/>
      <c r="N200" s="7"/>
      <c r="O200" s="8" t="s">
        <v>25</v>
      </c>
    </row>
    <row r="201" ht="15.75" customHeight="1">
      <c r="D201" s="5">
        <v>9.0</v>
      </c>
      <c r="J201" s="5">
        <f t="shared" si="1"/>
        <v>0</v>
      </c>
      <c r="L201" s="27">
        <v>43134.0</v>
      </c>
      <c r="M201" s="7"/>
      <c r="N201" s="7"/>
      <c r="O201" s="8" t="s">
        <v>25</v>
      </c>
    </row>
    <row r="202" ht="15.75" customHeight="1">
      <c r="B202" s="5" t="s">
        <v>60</v>
      </c>
      <c r="C202" s="5">
        <v>1.0</v>
      </c>
      <c r="D202" s="13">
        <v>12.0</v>
      </c>
      <c r="E202" s="5">
        <v>1.0</v>
      </c>
      <c r="F202" s="5">
        <v>559.0</v>
      </c>
      <c r="G202" s="5">
        <v>180.0</v>
      </c>
      <c r="H202" s="5">
        <v>5.0</v>
      </c>
      <c r="I202" s="5">
        <v>1.0</v>
      </c>
      <c r="J202" s="5">
        <f t="shared" si="1"/>
        <v>5.59</v>
      </c>
      <c r="L202" s="27">
        <v>43134.0</v>
      </c>
      <c r="M202" s="7"/>
      <c r="N202" s="7"/>
      <c r="O202" s="8" t="s">
        <v>71</v>
      </c>
    </row>
    <row r="203" ht="15.75" customHeight="1">
      <c r="B203" s="22"/>
      <c r="C203" s="22"/>
      <c r="D203" s="22">
        <v>11.0</v>
      </c>
      <c r="E203" s="22"/>
      <c r="F203" s="22"/>
      <c r="G203" s="22"/>
      <c r="H203" s="22"/>
      <c r="I203" s="22"/>
      <c r="J203" s="5">
        <f t="shared" si="1"/>
        <v>0</v>
      </c>
      <c r="K203" s="22"/>
      <c r="L203" s="29">
        <v>43134.0</v>
      </c>
      <c r="M203" s="24"/>
      <c r="N203" s="24"/>
      <c r="O203" s="25" t="s">
        <v>71</v>
      </c>
      <c r="P203" s="22"/>
    </row>
    <row r="204" ht="15.75" customHeight="1">
      <c r="B204" s="5" t="s">
        <v>60</v>
      </c>
      <c r="C204" s="5">
        <v>1.0</v>
      </c>
      <c r="D204" s="5">
        <v>2.0</v>
      </c>
      <c r="E204" s="5">
        <v>2.0</v>
      </c>
      <c r="F204" s="5">
        <v>480.0</v>
      </c>
      <c r="G204" s="5">
        <v>210.0</v>
      </c>
      <c r="H204" s="5">
        <v>7.0</v>
      </c>
      <c r="I204" s="5">
        <v>1.0</v>
      </c>
      <c r="J204" s="5">
        <f t="shared" si="1"/>
        <v>4.8</v>
      </c>
      <c r="L204" s="27">
        <v>43162.0</v>
      </c>
      <c r="M204" s="7"/>
      <c r="N204" s="7"/>
      <c r="O204" s="8" t="s">
        <v>25</v>
      </c>
      <c r="P204" s="8" t="s">
        <v>26</v>
      </c>
    </row>
    <row r="205" ht="15.75" customHeight="1">
      <c r="B205" s="5" t="s">
        <v>60</v>
      </c>
      <c r="C205" s="5">
        <v>1.0</v>
      </c>
      <c r="D205" s="13">
        <v>1.0</v>
      </c>
      <c r="E205" s="5">
        <v>1.0</v>
      </c>
      <c r="F205" s="5">
        <v>749.0</v>
      </c>
      <c r="G205" s="5">
        <v>130.0</v>
      </c>
      <c r="H205" s="5">
        <v>5.0</v>
      </c>
      <c r="I205" s="5">
        <v>1.0</v>
      </c>
      <c r="J205" s="5">
        <f t="shared" si="1"/>
        <v>7.49</v>
      </c>
      <c r="K205" s="5" t="s">
        <v>57</v>
      </c>
      <c r="L205" s="27">
        <v>43162.0</v>
      </c>
      <c r="M205" s="7"/>
      <c r="N205" s="7"/>
      <c r="O205" s="8" t="s">
        <v>25</v>
      </c>
      <c r="P205" s="8" t="s">
        <v>26</v>
      </c>
    </row>
    <row r="206" ht="15.75" customHeight="1">
      <c r="B206" s="5" t="s">
        <v>60</v>
      </c>
      <c r="C206" s="5">
        <v>1.0</v>
      </c>
      <c r="D206" s="13">
        <v>1.0</v>
      </c>
      <c r="E206" s="5">
        <v>1.0</v>
      </c>
      <c r="F206" s="5">
        <v>749.0</v>
      </c>
      <c r="G206" s="5">
        <v>130.0</v>
      </c>
      <c r="H206" s="5">
        <v>5.0</v>
      </c>
      <c r="I206" s="5">
        <v>1.0</v>
      </c>
      <c r="J206" s="5">
        <f t="shared" si="1"/>
        <v>7.49</v>
      </c>
      <c r="K206" s="5" t="s">
        <v>55</v>
      </c>
      <c r="L206" s="27">
        <v>43162.0</v>
      </c>
      <c r="M206" s="7"/>
      <c r="N206" s="7"/>
      <c r="O206" s="8" t="s">
        <v>25</v>
      </c>
      <c r="P206" s="8" t="s">
        <v>26</v>
      </c>
    </row>
    <row r="207" ht="15.75" customHeight="1">
      <c r="B207" s="5" t="s">
        <v>60</v>
      </c>
      <c r="C207" s="5">
        <v>1.0</v>
      </c>
      <c r="D207" s="13">
        <v>1.0</v>
      </c>
      <c r="E207" s="5">
        <v>1.0</v>
      </c>
      <c r="F207" s="5">
        <v>758.0</v>
      </c>
      <c r="G207" s="5">
        <v>140.0</v>
      </c>
      <c r="H207" s="5">
        <v>5.0</v>
      </c>
      <c r="I207" s="5">
        <v>1.0</v>
      </c>
      <c r="J207" s="5">
        <f t="shared" si="1"/>
        <v>7.58</v>
      </c>
      <c r="K207" s="5" t="s">
        <v>55</v>
      </c>
      <c r="L207" s="27">
        <v>43162.0</v>
      </c>
      <c r="M207" s="7"/>
      <c r="N207" s="7"/>
      <c r="O207" s="8" t="s">
        <v>25</v>
      </c>
      <c r="P207" s="8" t="s">
        <v>26</v>
      </c>
    </row>
    <row r="208" ht="15.75" customHeight="1">
      <c r="B208" s="5" t="s">
        <v>60</v>
      </c>
      <c r="C208" s="5">
        <v>1.0</v>
      </c>
      <c r="D208" s="13">
        <v>3.0</v>
      </c>
      <c r="E208" s="5">
        <v>1.0</v>
      </c>
      <c r="F208" s="5">
        <v>550.0</v>
      </c>
      <c r="G208" s="5">
        <v>214.0</v>
      </c>
      <c r="H208" s="5">
        <v>2.0</v>
      </c>
      <c r="I208" s="5">
        <v>1.0</v>
      </c>
      <c r="J208" s="5">
        <f t="shared" si="1"/>
        <v>5.5</v>
      </c>
      <c r="L208" s="27">
        <v>43162.0</v>
      </c>
      <c r="M208" s="7"/>
      <c r="N208" s="7"/>
      <c r="O208" s="8" t="s">
        <v>25</v>
      </c>
    </row>
    <row r="209" ht="15.75" customHeight="1">
      <c r="B209" s="5" t="s">
        <v>60</v>
      </c>
      <c r="C209" s="5">
        <v>1.0</v>
      </c>
      <c r="D209" s="13">
        <v>3.0</v>
      </c>
      <c r="E209" s="5">
        <v>1.0</v>
      </c>
      <c r="F209" s="5">
        <v>273.0</v>
      </c>
      <c r="G209" s="5">
        <v>130.0</v>
      </c>
      <c r="H209" s="5">
        <v>2.0</v>
      </c>
      <c r="I209" s="5">
        <v>5.0</v>
      </c>
      <c r="J209" s="5">
        <f t="shared" si="1"/>
        <v>2.73</v>
      </c>
      <c r="L209" s="27">
        <v>43162.0</v>
      </c>
      <c r="M209" s="7"/>
      <c r="N209" s="7"/>
      <c r="O209" s="8" t="s">
        <v>25</v>
      </c>
    </row>
    <row r="210" ht="15.75" customHeight="1">
      <c r="D210" s="5">
        <v>4.0</v>
      </c>
      <c r="J210" s="5">
        <f t="shared" si="1"/>
        <v>0</v>
      </c>
      <c r="L210" s="27">
        <v>43162.0</v>
      </c>
      <c r="M210" s="7"/>
      <c r="N210" s="7"/>
      <c r="O210" s="8" t="s">
        <v>25</v>
      </c>
    </row>
    <row r="211" ht="15.75" customHeight="1">
      <c r="D211" s="5">
        <v>5.0</v>
      </c>
      <c r="J211" s="5">
        <f t="shared" si="1"/>
        <v>0</v>
      </c>
      <c r="L211" s="27">
        <v>43162.0</v>
      </c>
      <c r="M211" s="9"/>
      <c r="N211" s="9"/>
      <c r="O211" s="8" t="s">
        <v>25</v>
      </c>
      <c r="P211" s="5" t="s">
        <v>59</v>
      </c>
    </row>
    <row r="212" ht="15.75" customHeight="1">
      <c r="D212" s="5">
        <v>6.0</v>
      </c>
      <c r="J212" s="5">
        <f t="shared" si="1"/>
        <v>0</v>
      </c>
      <c r="L212" s="27">
        <v>43162.0</v>
      </c>
      <c r="M212" s="9"/>
      <c r="N212" s="7"/>
      <c r="O212" s="8" t="s">
        <v>25</v>
      </c>
      <c r="P212" s="5" t="s">
        <v>63</v>
      </c>
    </row>
    <row r="213" ht="15.75" customHeight="1">
      <c r="D213" s="5">
        <v>7.0</v>
      </c>
      <c r="J213" s="5">
        <f t="shared" si="1"/>
        <v>0</v>
      </c>
      <c r="L213" s="27">
        <v>43162.0</v>
      </c>
      <c r="M213" s="7"/>
      <c r="N213" s="7"/>
      <c r="O213" s="8" t="s">
        <v>25</v>
      </c>
    </row>
    <row r="214" ht="15.75" customHeight="1">
      <c r="D214" s="5">
        <v>8.0</v>
      </c>
      <c r="J214" s="5">
        <f t="shared" si="1"/>
        <v>0</v>
      </c>
      <c r="L214" s="27">
        <v>43162.0</v>
      </c>
      <c r="M214" s="7"/>
      <c r="N214" s="7"/>
      <c r="O214" s="8" t="s">
        <v>25</v>
      </c>
    </row>
    <row r="215" ht="15.75" customHeight="1">
      <c r="D215" s="5">
        <v>10.0</v>
      </c>
      <c r="J215" s="5">
        <f t="shared" si="1"/>
        <v>0</v>
      </c>
      <c r="L215" s="27">
        <v>43162.0</v>
      </c>
      <c r="M215" s="7"/>
      <c r="N215" s="7"/>
      <c r="O215" s="8" t="s">
        <v>25</v>
      </c>
    </row>
    <row r="216" ht="15.75" customHeight="1">
      <c r="D216" s="5">
        <v>9.0</v>
      </c>
      <c r="J216" s="5">
        <f t="shared" si="1"/>
        <v>0</v>
      </c>
      <c r="L216" s="27">
        <v>43162.0</v>
      </c>
      <c r="M216" s="7"/>
      <c r="N216" s="7"/>
      <c r="O216" s="8" t="s">
        <v>25</v>
      </c>
    </row>
    <row r="217" ht="15.75" customHeight="1">
      <c r="D217" s="5">
        <v>12.0</v>
      </c>
      <c r="J217" s="5">
        <f t="shared" si="1"/>
        <v>0</v>
      </c>
      <c r="L217" s="27">
        <v>43162.0</v>
      </c>
      <c r="M217" s="7"/>
      <c r="N217" s="7"/>
      <c r="O217" s="8" t="s">
        <v>25</v>
      </c>
    </row>
    <row r="218" ht="15.75" customHeight="1">
      <c r="B218" s="22"/>
      <c r="C218" s="22"/>
      <c r="D218" s="22">
        <v>11.0</v>
      </c>
      <c r="E218" s="22"/>
      <c r="F218" s="22"/>
      <c r="G218" s="22"/>
      <c r="H218" s="22"/>
      <c r="I218" s="22"/>
      <c r="J218" s="5">
        <f t="shared" si="1"/>
        <v>0</v>
      </c>
      <c r="K218" s="22"/>
      <c r="L218" s="29">
        <v>43162.0</v>
      </c>
      <c r="M218" s="24"/>
      <c r="N218" s="24"/>
      <c r="O218" s="25" t="s">
        <v>25</v>
      </c>
      <c r="P218" s="22"/>
    </row>
    <row r="219" ht="15.75" customHeight="1">
      <c r="B219" s="5" t="s">
        <v>60</v>
      </c>
      <c r="C219" s="8">
        <v>1.0</v>
      </c>
      <c r="D219" s="8">
        <v>2.0</v>
      </c>
      <c r="E219" s="8">
        <v>2.0</v>
      </c>
      <c r="F219" s="8">
        <v>523.0</v>
      </c>
      <c r="G219" s="8">
        <v>146.0</v>
      </c>
      <c r="H219" s="8">
        <v>5.0</v>
      </c>
      <c r="I219" s="8">
        <v>1.0</v>
      </c>
      <c r="J219" s="5">
        <f t="shared" si="1"/>
        <v>5.23</v>
      </c>
      <c r="K219" s="8"/>
      <c r="L219" s="27">
        <v>43197.0</v>
      </c>
      <c r="M219" s="7"/>
      <c r="N219" s="7"/>
      <c r="O219" s="8" t="s">
        <v>25</v>
      </c>
      <c r="P219" s="8" t="s">
        <v>63</v>
      </c>
    </row>
    <row r="220" ht="15.75" customHeight="1">
      <c r="B220" s="5" t="s">
        <v>60</v>
      </c>
      <c r="C220" s="8">
        <v>1.0</v>
      </c>
      <c r="D220" s="38">
        <v>1.0</v>
      </c>
      <c r="E220" s="8">
        <v>1.0</v>
      </c>
      <c r="F220" s="8">
        <v>233.0</v>
      </c>
      <c r="G220" s="8">
        <v>125.0</v>
      </c>
      <c r="H220" s="8">
        <v>5.0</v>
      </c>
      <c r="I220" s="8">
        <v>1.0</v>
      </c>
      <c r="J220" s="5">
        <f t="shared" si="1"/>
        <v>2.33</v>
      </c>
      <c r="K220" s="8"/>
      <c r="L220" s="27">
        <v>43197.0</v>
      </c>
      <c r="M220" s="7"/>
      <c r="N220" s="7"/>
      <c r="O220" s="8" t="s">
        <v>25</v>
      </c>
      <c r="P220" s="8"/>
    </row>
    <row r="221" ht="15.75" customHeight="1">
      <c r="B221" s="5" t="s">
        <v>60</v>
      </c>
      <c r="C221" s="5">
        <v>1.0</v>
      </c>
      <c r="D221" s="13">
        <v>3.0</v>
      </c>
      <c r="E221" s="5">
        <v>1.0</v>
      </c>
      <c r="F221" s="5">
        <v>650.0</v>
      </c>
      <c r="G221" s="5">
        <v>270.0</v>
      </c>
      <c r="H221" s="5">
        <v>2.0</v>
      </c>
      <c r="I221" s="5">
        <v>1.0</v>
      </c>
      <c r="J221" s="5">
        <f t="shared" si="1"/>
        <v>6.5</v>
      </c>
      <c r="L221" s="27">
        <v>43197.0</v>
      </c>
      <c r="M221" s="9"/>
      <c r="N221" s="9"/>
      <c r="O221" s="8" t="s">
        <v>25</v>
      </c>
    </row>
    <row r="222" ht="15.75" customHeight="1">
      <c r="D222" s="5">
        <v>4.0</v>
      </c>
      <c r="J222" s="5">
        <f t="shared" si="1"/>
        <v>0</v>
      </c>
      <c r="L222" s="27">
        <v>43197.0</v>
      </c>
      <c r="M222" s="9"/>
      <c r="N222" s="9"/>
      <c r="O222" s="8" t="s">
        <v>25</v>
      </c>
    </row>
    <row r="223" ht="15.75" customHeight="1">
      <c r="D223" s="5">
        <v>5.0</v>
      </c>
      <c r="J223" s="5">
        <f t="shared" si="1"/>
        <v>0</v>
      </c>
      <c r="L223" s="27">
        <v>43197.0</v>
      </c>
      <c r="M223" s="7"/>
      <c r="N223" s="7"/>
      <c r="O223" s="8" t="s">
        <v>25</v>
      </c>
    </row>
    <row r="224" ht="15.75" customHeight="1">
      <c r="D224" s="5">
        <v>6.0</v>
      </c>
      <c r="J224" s="5">
        <f t="shared" si="1"/>
        <v>0</v>
      </c>
      <c r="L224" s="27">
        <v>43197.0</v>
      </c>
      <c r="M224" s="7"/>
      <c r="N224" s="7"/>
      <c r="O224" s="8" t="s">
        <v>25</v>
      </c>
    </row>
    <row r="225" ht="15.75" customHeight="1">
      <c r="D225" s="5">
        <v>7.0</v>
      </c>
      <c r="J225" s="5">
        <f t="shared" si="1"/>
        <v>0</v>
      </c>
      <c r="L225" s="27">
        <v>43197.0</v>
      </c>
      <c r="M225" s="9"/>
      <c r="N225" s="9"/>
      <c r="O225" s="8" t="s">
        <v>25</v>
      </c>
    </row>
    <row r="226" ht="15.75" customHeight="1">
      <c r="D226" s="5">
        <v>8.0</v>
      </c>
      <c r="J226" s="5">
        <f t="shared" si="1"/>
        <v>0</v>
      </c>
      <c r="L226" s="27">
        <v>43197.0</v>
      </c>
      <c r="M226" s="9"/>
      <c r="N226" s="9"/>
      <c r="O226" s="8" t="s">
        <v>25</v>
      </c>
    </row>
    <row r="227" ht="15.75" customHeight="1">
      <c r="D227" s="5">
        <v>10.0</v>
      </c>
      <c r="J227" s="5">
        <f t="shared" si="1"/>
        <v>0</v>
      </c>
      <c r="L227" s="27">
        <v>43197.0</v>
      </c>
      <c r="M227" s="9"/>
      <c r="N227" s="9"/>
      <c r="O227" s="8" t="s">
        <v>25</v>
      </c>
    </row>
    <row r="228" ht="15.75" customHeight="1">
      <c r="D228" s="5">
        <v>9.0</v>
      </c>
      <c r="J228" s="5">
        <f t="shared" si="1"/>
        <v>0</v>
      </c>
      <c r="L228" s="27">
        <v>43197.0</v>
      </c>
      <c r="M228" s="9"/>
      <c r="N228" s="9"/>
      <c r="O228" s="8" t="s">
        <v>65</v>
      </c>
    </row>
    <row r="229" ht="15.75" customHeight="1">
      <c r="D229" s="5">
        <v>12.0</v>
      </c>
      <c r="J229" s="5">
        <f t="shared" si="1"/>
        <v>0</v>
      </c>
      <c r="L229" s="27">
        <v>43197.0</v>
      </c>
      <c r="M229" s="7"/>
      <c r="N229" s="7"/>
      <c r="O229" s="8" t="s">
        <v>65</v>
      </c>
      <c r="P229" s="8"/>
    </row>
    <row r="230" ht="15.75" customHeight="1">
      <c r="B230" s="22"/>
      <c r="C230" s="22"/>
      <c r="D230" s="22">
        <v>11.0</v>
      </c>
      <c r="E230" s="22"/>
      <c r="F230" s="22"/>
      <c r="G230" s="22"/>
      <c r="H230" s="22"/>
      <c r="I230" s="22"/>
      <c r="J230" s="5">
        <f t="shared" si="1"/>
        <v>0</v>
      </c>
      <c r="K230" s="22"/>
      <c r="L230" s="29">
        <v>43197.0</v>
      </c>
      <c r="M230" s="24"/>
      <c r="N230" s="24"/>
      <c r="O230" s="25" t="s">
        <v>65</v>
      </c>
      <c r="P230" s="25" t="s">
        <v>26</v>
      </c>
    </row>
    <row r="231" ht="15.75" customHeight="1">
      <c r="D231" s="5">
        <v>2.0</v>
      </c>
      <c r="J231" s="5">
        <f t="shared" si="1"/>
        <v>0</v>
      </c>
      <c r="L231" s="34">
        <v>43225.0</v>
      </c>
      <c r="O231" s="8" t="s">
        <v>66</v>
      </c>
      <c r="R231" s="9">
        <v>0.0062499999999999995</v>
      </c>
    </row>
    <row r="232" ht="15.75" customHeight="1">
      <c r="D232" s="5">
        <v>1.0</v>
      </c>
      <c r="J232" s="5">
        <f t="shared" si="1"/>
        <v>0</v>
      </c>
      <c r="L232" s="34">
        <v>43225.0</v>
      </c>
      <c r="O232" s="8" t="s">
        <v>66</v>
      </c>
      <c r="R232" s="9">
        <v>0.004166666666666667</v>
      </c>
    </row>
    <row r="233" ht="15.75" customHeight="1">
      <c r="B233" s="5" t="s">
        <v>60</v>
      </c>
      <c r="C233" s="5">
        <v>1.0</v>
      </c>
      <c r="D233" s="13">
        <v>3.0</v>
      </c>
      <c r="E233" s="5">
        <v>1.0</v>
      </c>
      <c r="F233" s="5">
        <v>1096.0</v>
      </c>
      <c r="G233" s="5">
        <v>280.0</v>
      </c>
      <c r="H233" s="5">
        <v>1.0</v>
      </c>
      <c r="I233" s="5">
        <v>5.0</v>
      </c>
      <c r="J233" s="5">
        <f t="shared" si="1"/>
        <v>10.96</v>
      </c>
      <c r="L233" s="27">
        <v>43225.0</v>
      </c>
      <c r="O233" s="8" t="s">
        <v>74</v>
      </c>
      <c r="R233" s="9">
        <v>0.006944444444444444</v>
      </c>
    </row>
    <row r="234" ht="15.75" customHeight="1">
      <c r="B234" s="5" t="s">
        <v>60</v>
      </c>
      <c r="C234" s="5">
        <v>1.0</v>
      </c>
      <c r="D234" s="13">
        <v>3.0</v>
      </c>
      <c r="E234" s="5">
        <v>2.0</v>
      </c>
      <c r="F234" s="5">
        <v>426.0</v>
      </c>
      <c r="G234" s="5">
        <v>550.0</v>
      </c>
      <c r="H234" s="5">
        <v>2.0</v>
      </c>
      <c r="I234" s="5">
        <v>1.0</v>
      </c>
      <c r="J234" s="5">
        <f t="shared" si="1"/>
        <v>4.26</v>
      </c>
      <c r="L234" s="27">
        <v>43225.0</v>
      </c>
      <c r="O234" s="8" t="s">
        <v>74</v>
      </c>
    </row>
    <row r="235" ht="15.75" customHeight="1">
      <c r="D235" s="5">
        <v>4.0</v>
      </c>
      <c r="J235" s="5">
        <f t="shared" si="1"/>
        <v>0</v>
      </c>
      <c r="L235" s="27">
        <v>43225.0</v>
      </c>
      <c r="O235" s="8" t="s">
        <v>75</v>
      </c>
      <c r="R235" s="9">
        <v>0.006944444444444444</v>
      </c>
    </row>
    <row r="236" ht="15.75" customHeight="1">
      <c r="D236" s="5">
        <v>5.0</v>
      </c>
      <c r="J236" s="5">
        <f t="shared" si="1"/>
        <v>0</v>
      </c>
      <c r="L236" s="27">
        <v>43225.0</v>
      </c>
      <c r="O236" s="8" t="s">
        <v>75</v>
      </c>
      <c r="R236" s="9">
        <v>0.004861111111111111</v>
      </c>
    </row>
    <row r="237" ht="15.75" customHeight="1">
      <c r="D237" s="5">
        <v>6.0</v>
      </c>
      <c r="J237" s="5">
        <f t="shared" si="1"/>
        <v>0</v>
      </c>
      <c r="L237" s="27">
        <v>43225.0</v>
      </c>
      <c r="O237" s="8" t="s">
        <v>74</v>
      </c>
      <c r="R237" s="9">
        <v>0.004861111111111111</v>
      </c>
    </row>
    <row r="238" ht="15.75" customHeight="1">
      <c r="D238" s="5">
        <v>7.0</v>
      </c>
      <c r="J238" s="5">
        <f t="shared" si="1"/>
        <v>0</v>
      </c>
      <c r="L238" s="27">
        <v>43225.0</v>
      </c>
      <c r="O238" s="8" t="s">
        <v>74</v>
      </c>
      <c r="R238" s="9">
        <v>0.003472222222222222</v>
      </c>
    </row>
    <row r="239" ht="15.75" customHeight="1">
      <c r="D239" s="5">
        <v>8.0</v>
      </c>
      <c r="J239" s="5">
        <f t="shared" si="1"/>
        <v>0</v>
      </c>
      <c r="L239" s="27">
        <v>43225.0</v>
      </c>
      <c r="O239" s="8" t="s">
        <v>74</v>
      </c>
      <c r="R239" s="9">
        <v>0.004861111111111111</v>
      </c>
    </row>
    <row r="240" ht="15.75" customHeight="1">
      <c r="D240" s="5">
        <v>10.0</v>
      </c>
      <c r="J240" s="5">
        <f t="shared" si="1"/>
        <v>0</v>
      </c>
      <c r="L240" s="27">
        <v>43225.0</v>
      </c>
      <c r="O240" s="8" t="s">
        <v>74</v>
      </c>
      <c r="R240" s="9">
        <v>0.003472222222222222</v>
      </c>
    </row>
    <row r="241" ht="15.75" customHeight="1">
      <c r="D241" s="5">
        <v>9.0</v>
      </c>
      <c r="J241" s="5">
        <f t="shared" si="1"/>
        <v>0</v>
      </c>
      <c r="L241" s="27">
        <v>43225.0</v>
      </c>
      <c r="O241" s="8" t="s">
        <v>65</v>
      </c>
      <c r="R241" s="9">
        <v>0.004166666666666667</v>
      </c>
    </row>
    <row r="242" ht="15.75" customHeight="1">
      <c r="D242" s="5">
        <v>12.0</v>
      </c>
      <c r="J242" s="5">
        <f t="shared" si="1"/>
        <v>0</v>
      </c>
      <c r="L242" s="27">
        <v>43225.0</v>
      </c>
      <c r="O242" s="8" t="s">
        <v>65</v>
      </c>
      <c r="R242" s="9">
        <v>0.006944444444444444</v>
      </c>
    </row>
    <row r="243" ht="15.75" customHeight="1">
      <c r="B243" s="22"/>
      <c r="C243" s="22"/>
      <c r="D243" s="22">
        <v>11.0</v>
      </c>
      <c r="E243" s="22"/>
      <c r="F243" s="22"/>
      <c r="G243" s="22"/>
      <c r="H243" s="22"/>
      <c r="I243" s="22"/>
      <c r="J243" s="5">
        <f t="shared" si="1"/>
        <v>0</v>
      </c>
      <c r="K243" s="22"/>
      <c r="L243" s="29">
        <v>43225.0</v>
      </c>
      <c r="M243" s="22"/>
      <c r="N243" s="22"/>
      <c r="O243" s="25" t="s">
        <v>67</v>
      </c>
      <c r="P243" s="22"/>
      <c r="R243" s="9">
        <v>0.0062499999999999995</v>
      </c>
    </row>
    <row r="244" ht="15.75" customHeight="1">
      <c r="D244" s="5">
        <v>2.0</v>
      </c>
      <c r="J244" s="5">
        <f t="shared" si="1"/>
        <v>0</v>
      </c>
      <c r="L244" s="31">
        <v>43252.0</v>
      </c>
      <c r="O244" s="8" t="s">
        <v>65</v>
      </c>
      <c r="R244" s="9">
        <v>0.006944444444444444</v>
      </c>
    </row>
    <row r="245" ht="15.75" customHeight="1">
      <c r="D245" s="5">
        <v>1.0</v>
      </c>
      <c r="J245" s="5">
        <f t="shared" si="1"/>
        <v>0</v>
      </c>
      <c r="L245" s="31">
        <v>43252.0</v>
      </c>
      <c r="O245" s="8" t="s">
        <v>65</v>
      </c>
      <c r="R245" s="9">
        <v>0.004166666666666667</v>
      </c>
    </row>
    <row r="246" ht="15.75" customHeight="1">
      <c r="D246" s="5">
        <v>3.0</v>
      </c>
      <c r="J246" s="5">
        <f t="shared" si="1"/>
        <v>0</v>
      </c>
      <c r="L246" s="31">
        <v>43252.0</v>
      </c>
      <c r="O246" s="8" t="s">
        <v>65</v>
      </c>
      <c r="R246" s="9">
        <v>0.004166666666666667</v>
      </c>
    </row>
    <row r="247" ht="15.75" customHeight="1">
      <c r="D247" s="5">
        <v>4.0</v>
      </c>
      <c r="J247" s="5">
        <f t="shared" si="1"/>
        <v>0</v>
      </c>
      <c r="L247" s="31">
        <v>43252.0</v>
      </c>
      <c r="O247" s="8" t="s">
        <v>65</v>
      </c>
      <c r="R247" s="9">
        <v>0.004166666666666667</v>
      </c>
    </row>
    <row r="248" ht="15.75" customHeight="1">
      <c r="D248" s="5">
        <v>5.0</v>
      </c>
      <c r="J248" s="5">
        <f t="shared" si="1"/>
        <v>0</v>
      </c>
      <c r="L248" s="31">
        <v>43252.0</v>
      </c>
      <c r="O248" s="8" t="s">
        <v>65</v>
      </c>
      <c r="R248" s="9">
        <v>0.004166666666666667</v>
      </c>
    </row>
    <row r="249" ht="15.75" customHeight="1">
      <c r="D249" s="5">
        <v>6.0</v>
      </c>
      <c r="J249" s="5">
        <f t="shared" si="1"/>
        <v>0</v>
      </c>
      <c r="L249" s="31">
        <v>43252.0</v>
      </c>
      <c r="O249" s="8" t="s">
        <v>65</v>
      </c>
      <c r="R249" s="9">
        <v>0.004861111111111111</v>
      </c>
    </row>
    <row r="250" ht="15.75" customHeight="1">
      <c r="D250" s="5">
        <v>7.0</v>
      </c>
      <c r="J250" s="5">
        <f t="shared" si="1"/>
        <v>0</v>
      </c>
      <c r="L250" s="31">
        <v>43252.0</v>
      </c>
      <c r="O250" s="8" t="s">
        <v>65</v>
      </c>
      <c r="R250" s="9">
        <v>0.005555555555555556</v>
      </c>
    </row>
    <row r="251" ht="15.75" customHeight="1">
      <c r="D251" s="5">
        <v>8.0</v>
      </c>
      <c r="J251" s="5">
        <f t="shared" si="1"/>
        <v>0</v>
      </c>
      <c r="L251" s="31">
        <v>43252.0</v>
      </c>
      <c r="O251" s="8" t="s">
        <v>65</v>
      </c>
      <c r="R251" s="9">
        <v>0.005555555555555556</v>
      </c>
    </row>
    <row r="252" ht="15.75" customHeight="1">
      <c r="D252" s="5">
        <v>10.0</v>
      </c>
      <c r="J252" s="5">
        <f t="shared" si="1"/>
        <v>0</v>
      </c>
      <c r="L252" s="31">
        <v>43252.0</v>
      </c>
      <c r="O252" s="8" t="s">
        <v>65</v>
      </c>
      <c r="R252" s="7">
        <v>0.004166666666666667</v>
      </c>
    </row>
    <row r="253" ht="15.75" customHeight="1">
      <c r="D253" s="5">
        <v>9.0</v>
      </c>
      <c r="J253" s="5">
        <f t="shared" si="1"/>
        <v>0</v>
      </c>
      <c r="L253" s="31">
        <v>43252.0</v>
      </c>
      <c r="O253" s="8" t="s">
        <v>65</v>
      </c>
      <c r="R253" s="9">
        <v>0.004861111111111111</v>
      </c>
    </row>
    <row r="254" ht="15.75" customHeight="1">
      <c r="D254" s="5">
        <v>12.0</v>
      </c>
      <c r="J254" s="5">
        <f t="shared" si="1"/>
        <v>0</v>
      </c>
      <c r="L254" s="31">
        <v>43252.0</v>
      </c>
      <c r="O254" s="8" t="s">
        <v>65</v>
      </c>
      <c r="R254" s="7">
        <v>0.004166666666666667</v>
      </c>
    </row>
    <row r="255" ht="15.75" customHeight="1">
      <c r="B255" s="22"/>
      <c r="C255" s="22"/>
      <c r="D255" s="22">
        <v>11.0</v>
      </c>
      <c r="E255" s="22"/>
      <c r="F255" s="22"/>
      <c r="G255" s="22"/>
      <c r="H255" s="22"/>
      <c r="I255" s="22"/>
      <c r="J255" s="5">
        <f t="shared" si="1"/>
        <v>0</v>
      </c>
      <c r="K255" s="22"/>
      <c r="L255" s="32">
        <v>43252.0</v>
      </c>
      <c r="M255" s="22"/>
      <c r="N255" s="22"/>
      <c r="O255" s="25" t="s">
        <v>65</v>
      </c>
      <c r="P255" s="22"/>
      <c r="R255" s="9">
        <v>0.005555555555555556</v>
      </c>
    </row>
    <row r="256" ht="15.75" customHeight="1">
      <c r="B256" s="5" t="s">
        <v>60</v>
      </c>
      <c r="C256" s="5">
        <v>1.0</v>
      </c>
      <c r="D256" s="5">
        <v>2.0</v>
      </c>
      <c r="E256" s="5">
        <v>1.0</v>
      </c>
      <c r="F256" s="5">
        <v>365.0</v>
      </c>
      <c r="G256" s="5">
        <v>160.0</v>
      </c>
      <c r="H256" s="5">
        <v>5.0</v>
      </c>
      <c r="I256" s="5">
        <v>1.0</v>
      </c>
      <c r="J256" s="5">
        <f t="shared" si="1"/>
        <v>3.65</v>
      </c>
      <c r="L256" s="34">
        <v>43307.0</v>
      </c>
      <c r="O256" s="8" t="s">
        <v>25</v>
      </c>
      <c r="R256" s="9">
        <v>0.008333333333333333</v>
      </c>
    </row>
    <row r="257" ht="15.75" customHeight="1">
      <c r="B257" s="5" t="s">
        <v>60</v>
      </c>
      <c r="C257" s="5">
        <v>1.0</v>
      </c>
      <c r="D257" s="5">
        <v>2.0</v>
      </c>
      <c r="E257" s="5">
        <v>1.0</v>
      </c>
      <c r="F257" s="5">
        <v>239.0</v>
      </c>
      <c r="G257" s="5">
        <v>106.0</v>
      </c>
      <c r="H257" s="5">
        <v>5.0</v>
      </c>
      <c r="I257" s="5">
        <v>1.0</v>
      </c>
      <c r="J257" s="5">
        <f t="shared" si="1"/>
        <v>2.39</v>
      </c>
      <c r="L257" s="34">
        <v>43307.0</v>
      </c>
      <c r="O257" s="8" t="s">
        <v>25</v>
      </c>
    </row>
    <row r="258" ht="15.75" customHeight="1">
      <c r="B258" s="5" t="s">
        <v>60</v>
      </c>
      <c r="C258" s="5">
        <v>1.0</v>
      </c>
      <c r="D258" s="13">
        <v>1.0</v>
      </c>
      <c r="E258" s="5">
        <v>1.0</v>
      </c>
      <c r="F258" s="5">
        <v>276.0</v>
      </c>
      <c r="G258" s="5">
        <v>171.0</v>
      </c>
      <c r="H258" s="5">
        <v>5.0</v>
      </c>
      <c r="I258" s="5">
        <v>1.0</v>
      </c>
      <c r="J258" s="5">
        <f t="shared" si="1"/>
        <v>2.76</v>
      </c>
      <c r="L258" s="27">
        <v>43307.0</v>
      </c>
      <c r="O258" s="8" t="s">
        <v>25</v>
      </c>
      <c r="R258" s="9">
        <v>0.004861111111111111</v>
      </c>
    </row>
    <row r="259" ht="15.75" customHeight="1">
      <c r="B259" s="5" t="s">
        <v>60</v>
      </c>
      <c r="C259" s="5">
        <v>1.0</v>
      </c>
      <c r="D259" s="13">
        <v>1.0</v>
      </c>
      <c r="E259" s="5">
        <v>1.0</v>
      </c>
      <c r="F259" s="5">
        <v>280.0</v>
      </c>
      <c r="G259" s="5">
        <v>60.0</v>
      </c>
      <c r="H259" s="5">
        <v>5.0</v>
      </c>
      <c r="I259" s="5">
        <v>1.0</v>
      </c>
      <c r="J259" s="5">
        <f t="shared" si="1"/>
        <v>2.8</v>
      </c>
      <c r="L259" s="27">
        <v>43307.0</v>
      </c>
      <c r="O259" s="8" t="s">
        <v>25</v>
      </c>
    </row>
    <row r="260" ht="15.75" customHeight="1">
      <c r="D260" s="5">
        <v>3.0</v>
      </c>
      <c r="J260" s="5">
        <f t="shared" si="1"/>
        <v>0</v>
      </c>
      <c r="L260" s="27">
        <v>43307.0</v>
      </c>
      <c r="O260" s="8" t="s">
        <v>25</v>
      </c>
      <c r="R260" s="9">
        <v>0.004166666666666667</v>
      </c>
    </row>
    <row r="261" ht="15.75" customHeight="1">
      <c r="D261" s="5">
        <v>4.0</v>
      </c>
      <c r="J261" s="5">
        <f t="shared" si="1"/>
        <v>0</v>
      </c>
      <c r="L261" s="27">
        <v>43307.0</v>
      </c>
      <c r="O261" s="8" t="s">
        <v>25</v>
      </c>
      <c r="R261" s="9">
        <v>0.004166666666666667</v>
      </c>
    </row>
    <row r="262" ht="15.75" customHeight="1">
      <c r="D262" s="5">
        <v>5.0</v>
      </c>
      <c r="J262" s="5">
        <f t="shared" si="1"/>
        <v>0</v>
      </c>
      <c r="L262" s="27">
        <v>43307.0</v>
      </c>
      <c r="O262" s="8" t="s">
        <v>25</v>
      </c>
      <c r="R262" s="9">
        <v>0.0062499999999999995</v>
      </c>
    </row>
    <row r="263" ht="15.75" customHeight="1">
      <c r="D263" s="5">
        <v>6.0</v>
      </c>
      <c r="J263" s="5">
        <f t="shared" si="1"/>
        <v>0</v>
      </c>
      <c r="L263" s="27">
        <v>43307.0</v>
      </c>
      <c r="O263" s="8" t="s">
        <v>25</v>
      </c>
      <c r="R263" s="9">
        <v>0.003472222222222222</v>
      </c>
    </row>
    <row r="264" ht="15.75" customHeight="1">
      <c r="D264" s="5">
        <v>7.0</v>
      </c>
      <c r="J264" s="5">
        <f t="shared" si="1"/>
        <v>0</v>
      </c>
      <c r="L264" s="27">
        <v>43307.0</v>
      </c>
      <c r="O264" s="8" t="s">
        <v>25</v>
      </c>
      <c r="R264" s="9">
        <v>0.004166666666666667</v>
      </c>
    </row>
    <row r="265" ht="15.75" customHeight="1">
      <c r="D265" s="5">
        <v>8.0</v>
      </c>
      <c r="J265" s="5">
        <f t="shared" si="1"/>
        <v>0</v>
      </c>
      <c r="L265" s="27">
        <v>43307.0</v>
      </c>
      <c r="O265" s="8" t="s">
        <v>25</v>
      </c>
      <c r="R265" s="9">
        <v>0.004166666666666667</v>
      </c>
    </row>
    <row r="266" ht="15.75" customHeight="1">
      <c r="D266" s="5">
        <v>10.0</v>
      </c>
      <c r="J266" s="5">
        <f t="shared" si="1"/>
        <v>0</v>
      </c>
      <c r="L266" s="27">
        <v>43307.0</v>
      </c>
      <c r="O266" s="8" t="s">
        <v>25</v>
      </c>
      <c r="R266" s="9">
        <v>0.004166666666666667</v>
      </c>
    </row>
    <row r="267" ht="15.75" customHeight="1">
      <c r="D267" s="5">
        <v>9.0</v>
      </c>
      <c r="J267" s="5">
        <f t="shared" si="1"/>
        <v>0</v>
      </c>
      <c r="L267" s="27">
        <v>43307.0</v>
      </c>
      <c r="O267" s="8" t="s">
        <v>25</v>
      </c>
      <c r="R267" s="9">
        <v>0.002777777777777778</v>
      </c>
    </row>
    <row r="268" ht="15.75" customHeight="1">
      <c r="D268" s="5">
        <v>12.0</v>
      </c>
      <c r="J268" s="5">
        <f t="shared" si="1"/>
        <v>0</v>
      </c>
      <c r="L268" s="27">
        <v>43307.0</v>
      </c>
      <c r="O268" s="8" t="s">
        <v>25</v>
      </c>
      <c r="R268" s="9">
        <v>0.006944444444444444</v>
      </c>
    </row>
    <row r="269" ht="15.75" customHeight="1">
      <c r="B269" s="5" t="s">
        <v>60</v>
      </c>
      <c r="D269" s="13">
        <v>11.0</v>
      </c>
      <c r="E269" s="5">
        <v>1.0</v>
      </c>
      <c r="F269" s="5">
        <v>700.0</v>
      </c>
      <c r="G269" s="5">
        <v>168.0</v>
      </c>
      <c r="H269" s="5">
        <v>5.0</v>
      </c>
      <c r="I269" s="5">
        <v>1.0</v>
      </c>
      <c r="J269" s="5">
        <f t="shared" si="1"/>
        <v>7</v>
      </c>
      <c r="L269" s="27">
        <v>43307.0</v>
      </c>
      <c r="O269" s="8" t="s">
        <v>25</v>
      </c>
      <c r="R269" s="9">
        <v>0.004861111111111111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33"/>
    <col customWidth="1" min="3" max="3" width="7.44"/>
    <col customWidth="1" min="4" max="10" width="10.56"/>
    <col customWidth="1" min="11" max="11" width="9.33"/>
    <col customWidth="1" min="12" max="14" width="10.56"/>
    <col customWidth="1" min="15" max="15" width="17.0"/>
    <col customWidth="1" min="16" max="16" width="20.67"/>
    <col customWidth="1" min="17" max="17" width="10.56"/>
    <col customWidth="1" min="18" max="18" width="17.44"/>
    <col customWidth="1" min="19" max="19" width="10.56"/>
    <col customWidth="1" min="20" max="20" width="15.0"/>
    <col customWidth="1" min="21" max="21" width="17.78"/>
    <col customWidth="1" min="22" max="22" width="12.33"/>
    <col customWidth="1" min="23" max="23" width="12.11"/>
    <col customWidth="1" min="24" max="24" width="11.44"/>
    <col customWidth="1" min="25" max="25" width="13.44"/>
    <col customWidth="1" min="26" max="26" width="18.44"/>
    <col customWidth="1" min="27" max="27" width="12.67"/>
    <col customWidth="1" min="28" max="28" width="10.56"/>
    <col customWidth="1" min="29" max="29" width="9.0"/>
    <col customWidth="1" min="30" max="30" width="13.11"/>
    <col customWidth="1" min="31" max="33" width="10.56"/>
  </cols>
  <sheetData>
    <row r="1" ht="15.75" customHeight="1">
      <c r="B1" s="39"/>
      <c r="Q1" s="8"/>
    </row>
    <row r="2" ht="15.75" customHeight="1">
      <c r="B2" s="40" t="s">
        <v>0</v>
      </c>
      <c r="C2" s="1" t="s">
        <v>1</v>
      </c>
      <c r="D2" s="1" t="s">
        <v>2</v>
      </c>
      <c r="E2" s="1" t="s">
        <v>3</v>
      </c>
      <c r="F2" s="1" t="s">
        <v>76</v>
      </c>
      <c r="G2" s="1" t="s">
        <v>77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4" t="s">
        <v>15</v>
      </c>
      <c r="R2" s="1" t="s">
        <v>16</v>
      </c>
      <c r="S2" s="1"/>
      <c r="T2" s="1" t="s">
        <v>17</v>
      </c>
      <c r="V2" s="1" t="s">
        <v>7</v>
      </c>
      <c r="W2" s="1" t="s">
        <v>6</v>
      </c>
      <c r="X2" s="1" t="s">
        <v>18</v>
      </c>
      <c r="Y2" s="2" t="s">
        <v>19</v>
      </c>
      <c r="Z2" s="3" t="s">
        <v>20</v>
      </c>
      <c r="AA2" s="1" t="s">
        <v>0</v>
      </c>
      <c r="AB2" s="1" t="s">
        <v>21</v>
      </c>
      <c r="AC2" s="1" t="s">
        <v>22</v>
      </c>
      <c r="AD2" s="1" t="s">
        <v>23</v>
      </c>
      <c r="AE2" s="1" t="s">
        <v>24</v>
      </c>
    </row>
    <row r="3" ht="15.75" customHeight="1">
      <c r="B3" s="39" t="s">
        <v>48</v>
      </c>
      <c r="C3" s="5">
        <v>1.0</v>
      </c>
      <c r="D3" s="13">
        <v>2.0</v>
      </c>
      <c r="E3" s="5">
        <v>1.0</v>
      </c>
      <c r="F3" s="5">
        <v>300.0</v>
      </c>
      <c r="G3" s="5">
        <v>600.0</v>
      </c>
      <c r="H3" s="5">
        <v>2.0</v>
      </c>
      <c r="I3" s="5">
        <v>1.0</v>
      </c>
      <c r="J3" s="5">
        <f t="shared" ref="J3:J279" si="1">F3/100</f>
        <v>3</v>
      </c>
      <c r="K3" s="5" t="s">
        <v>55</v>
      </c>
      <c r="L3" s="41">
        <v>42953.0</v>
      </c>
      <c r="M3" s="9">
        <v>0.43263888888888885</v>
      </c>
      <c r="N3" s="9">
        <v>0.44097222222222227</v>
      </c>
      <c r="O3" s="5" t="s">
        <v>25</v>
      </c>
      <c r="Q3" s="7"/>
      <c r="R3" s="9">
        <f>N3-M3</f>
        <v>0.008333333333</v>
      </c>
      <c r="T3" s="10">
        <f>SUM(C3:C171)</f>
        <v>77</v>
      </c>
      <c r="V3" s="11" t="s">
        <v>28</v>
      </c>
      <c r="W3" s="5" t="s">
        <v>29</v>
      </c>
      <c r="X3" s="5" t="s">
        <v>30</v>
      </c>
      <c r="Y3" s="12">
        <v>1.0</v>
      </c>
      <c r="Z3" s="13">
        <v>2.0</v>
      </c>
      <c r="AA3" s="15" t="s">
        <v>31</v>
      </c>
      <c r="AB3" s="15">
        <f>SUM(C3:C140)</f>
        <v>57</v>
      </c>
      <c r="AC3" s="15">
        <f t="array" ref="AC3">_xlfn.MODE.MULT(E3:E140)</f>
        <v>1</v>
      </c>
      <c r="AD3" s="15">
        <f t="array" ref="AD3">_xlfn.MODE.MULT(I3:I140)</f>
        <v>1</v>
      </c>
      <c r="AE3" s="15">
        <f t="array" ref="AE3">_xlfn.MODE.MULT(H3:H140)</f>
        <v>2</v>
      </c>
    </row>
    <row r="4" ht="15.75" customHeight="1">
      <c r="B4" s="39" t="s">
        <v>48</v>
      </c>
      <c r="C4" s="5">
        <v>1.0</v>
      </c>
      <c r="D4" s="13">
        <v>2.0</v>
      </c>
      <c r="E4" s="5">
        <v>1.0</v>
      </c>
      <c r="F4" s="5">
        <v>150.0</v>
      </c>
      <c r="G4" s="5">
        <v>100.0</v>
      </c>
      <c r="H4" s="5">
        <v>2.0</v>
      </c>
      <c r="I4" s="5">
        <v>1.0</v>
      </c>
      <c r="J4" s="5">
        <f t="shared" si="1"/>
        <v>1.5</v>
      </c>
      <c r="K4" s="5" t="s">
        <v>55</v>
      </c>
      <c r="L4" s="41">
        <v>42953.0</v>
      </c>
      <c r="M4" s="9">
        <v>0.0</v>
      </c>
      <c r="N4" s="9">
        <v>0.0</v>
      </c>
      <c r="O4" s="5" t="s">
        <v>25</v>
      </c>
      <c r="Q4" s="7"/>
      <c r="R4" s="9"/>
      <c r="V4" s="5" t="s">
        <v>32</v>
      </c>
      <c r="W4" s="5" t="s">
        <v>33</v>
      </c>
      <c r="X4" s="5" t="s">
        <v>34</v>
      </c>
      <c r="Y4" s="12">
        <v>5.0</v>
      </c>
      <c r="Z4" s="13">
        <v>3.0</v>
      </c>
      <c r="AA4" s="18" t="s">
        <v>35</v>
      </c>
      <c r="AB4" s="18">
        <f>SUM(C141:C279)</f>
        <v>51</v>
      </c>
      <c r="AC4" s="18">
        <f t="array" ref="AC4">_xlfn.MODE.MULT(E141:E279)</f>
        <v>1</v>
      </c>
      <c r="AD4" s="18">
        <f t="array" ref="AD4">_xlfn.MODE.MULT(I141:I279)</f>
        <v>1</v>
      </c>
      <c r="AE4" s="18">
        <f t="array" ref="AE4">_xlfn.MODE.MULT(H141:H279)</f>
        <v>2</v>
      </c>
    </row>
    <row r="5" ht="15.75" customHeight="1">
      <c r="B5" s="39" t="s">
        <v>48</v>
      </c>
      <c r="C5" s="5">
        <v>1.0</v>
      </c>
      <c r="D5" s="13">
        <v>2.0</v>
      </c>
      <c r="E5" s="5">
        <v>1.0</v>
      </c>
      <c r="F5" s="5">
        <v>150.0</v>
      </c>
      <c r="G5" s="5">
        <v>100.0</v>
      </c>
      <c r="H5" s="5">
        <v>2.0</v>
      </c>
      <c r="I5" s="5">
        <v>1.0</v>
      </c>
      <c r="J5" s="5">
        <f t="shared" si="1"/>
        <v>1.5</v>
      </c>
      <c r="L5" s="41">
        <v>42953.0</v>
      </c>
      <c r="M5" s="9">
        <v>0.0</v>
      </c>
      <c r="N5" s="9">
        <v>0.0</v>
      </c>
      <c r="O5" s="5" t="s">
        <v>25</v>
      </c>
      <c r="Q5" s="8" t="s">
        <v>27</v>
      </c>
      <c r="T5" s="1" t="s">
        <v>36</v>
      </c>
      <c r="V5" s="5" t="s">
        <v>37</v>
      </c>
      <c r="W5" s="5" t="s">
        <v>38</v>
      </c>
      <c r="X5" s="5" t="s">
        <v>39</v>
      </c>
      <c r="Y5" s="12">
        <v>6.0</v>
      </c>
      <c r="Z5" s="13">
        <v>4.0</v>
      </c>
    </row>
    <row r="6" ht="15.75" customHeight="1">
      <c r="B6" s="39"/>
      <c r="D6" s="11">
        <v>1.0</v>
      </c>
      <c r="J6" s="5">
        <f t="shared" si="1"/>
        <v>0</v>
      </c>
      <c r="L6" s="41">
        <v>42953.0</v>
      </c>
      <c r="M6" s="9">
        <v>0.4444444444444444</v>
      </c>
      <c r="N6" s="9">
        <v>0.4548611111111111</v>
      </c>
      <c r="O6" s="5" t="s">
        <v>25</v>
      </c>
      <c r="P6" s="5" t="s">
        <v>78</v>
      </c>
      <c r="Q6" s="8" t="s">
        <v>40</v>
      </c>
      <c r="R6" s="9">
        <f t="shared" ref="R6:R11" si="2">N6-M6</f>
        <v>0.01041666667</v>
      </c>
      <c r="T6" s="5">
        <f t="array" ref="T6">_xlfn.MODE.MULT(E3:E171)</f>
        <v>1</v>
      </c>
      <c r="V6" s="5" t="s">
        <v>41</v>
      </c>
      <c r="W6" s="5" t="s">
        <v>42</v>
      </c>
      <c r="Y6" s="12">
        <v>10.0</v>
      </c>
      <c r="Z6" s="13">
        <v>7.0</v>
      </c>
    </row>
    <row r="7" ht="15.75" customHeight="1">
      <c r="B7" s="39"/>
      <c r="D7" s="13">
        <v>3.0</v>
      </c>
      <c r="J7" s="5">
        <f t="shared" si="1"/>
        <v>0</v>
      </c>
      <c r="L7" s="41">
        <v>42953.0</v>
      </c>
      <c r="M7" s="9">
        <v>0.4583333333333333</v>
      </c>
      <c r="N7" s="9">
        <v>0.46527777777777773</v>
      </c>
      <c r="O7" s="5" t="s">
        <v>25</v>
      </c>
      <c r="P7" s="5" t="s">
        <v>79</v>
      </c>
      <c r="Q7" s="8" t="s">
        <v>40</v>
      </c>
      <c r="R7" s="9">
        <f t="shared" si="2"/>
        <v>0.006944444444</v>
      </c>
      <c r="V7" s="5" t="s">
        <v>44</v>
      </c>
      <c r="W7" s="5" t="s">
        <v>45</v>
      </c>
      <c r="Y7" s="12">
        <v>11.0</v>
      </c>
      <c r="Z7" s="13">
        <v>8.0</v>
      </c>
    </row>
    <row r="8" ht="15.75" customHeight="1">
      <c r="B8" s="39"/>
      <c r="D8" s="13">
        <v>4.0</v>
      </c>
      <c r="J8" s="5">
        <f t="shared" si="1"/>
        <v>0</v>
      </c>
      <c r="L8" s="41">
        <v>42953.0</v>
      </c>
      <c r="M8" s="9">
        <v>0.4666666666666666</v>
      </c>
      <c r="N8" s="9">
        <v>0.47222222222222227</v>
      </c>
      <c r="O8" s="5" t="s">
        <v>25</v>
      </c>
      <c r="Q8" s="8" t="s">
        <v>40</v>
      </c>
      <c r="R8" s="9">
        <f t="shared" si="2"/>
        <v>0.005555555556</v>
      </c>
      <c r="T8" s="1" t="s">
        <v>46</v>
      </c>
      <c r="W8" s="5" t="s">
        <v>47</v>
      </c>
      <c r="Y8" s="12">
        <v>12.0</v>
      </c>
      <c r="Z8" s="13">
        <v>9.0</v>
      </c>
    </row>
    <row r="9" ht="15.75" customHeight="1">
      <c r="B9" s="39"/>
      <c r="D9" s="11">
        <v>5.0</v>
      </c>
      <c r="J9" s="5">
        <f t="shared" si="1"/>
        <v>0</v>
      </c>
      <c r="L9" s="41">
        <v>42953.0</v>
      </c>
      <c r="M9" s="9">
        <v>0.5034722222222222</v>
      </c>
      <c r="N9" s="9">
        <v>0.5069444444444444</v>
      </c>
      <c r="O9" s="5" t="s">
        <v>25</v>
      </c>
      <c r="P9" s="5" t="s">
        <v>26</v>
      </c>
      <c r="Q9" s="8" t="s">
        <v>27</v>
      </c>
      <c r="R9" s="9">
        <f t="shared" si="2"/>
        <v>0.003472222222</v>
      </c>
      <c r="T9" s="5">
        <f t="array" ref="T9">_xlfn.MODE.MULT(I3:I171)</f>
        <v>1</v>
      </c>
      <c r="W9" s="5" t="s">
        <v>49</v>
      </c>
      <c r="Y9" s="7"/>
      <c r="Z9" s="8"/>
      <c r="AA9" s="8"/>
    </row>
    <row r="10" ht="15.75" customHeight="1">
      <c r="B10" s="39" t="s">
        <v>48</v>
      </c>
      <c r="C10" s="5">
        <v>1.0</v>
      </c>
      <c r="D10" s="11">
        <v>6.0</v>
      </c>
      <c r="E10" s="5">
        <v>1.0</v>
      </c>
      <c r="F10" s="5">
        <v>332.0</v>
      </c>
      <c r="G10" s="5">
        <v>312.0</v>
      </c>
      <c r="H10" s="5">
        <v>2.0</v>
      </c>
      <c r="I10" s="5">
        <v>1.0</v>
      </c>
      <c r="J10" s="5">
        <f t="shared" si="1"/>
        <v>3.32</v>
      </c>
      <c r="L10" s="41">
        <v>42953.0</v>
      </c>
      <c r="M10" s="9">
        <v>0.49374999999999997</v>
      </c>
      <c r="N10" s="9">
        <v>0.4979166666666666</v>
      </c>
      <c r="O10" s="5" t="s">
        <v>25</v>
      </c>
      <c r="P10" s="5" t="s">
        <v>79</v>
      </c>
      <c r="Q10" s="8" t="s">
        <v>27</v>
      </c>
      <c r="R10" s="9">
        <f t="shared" si="2"/>
        <v>0.004166666667</v>
      </c>
      <c r="Z10" s="41"/>
      <c r="AA10" s="9"/>
      <c r="AB10" s="9"/>
    </row>
    <row r="11" ht="15.75" customHeight="1">
      <c r="B11" s="39" t="s">
        <v>48</v>
      </c>
      <c r="C11" s="5">
        <v>1.0</v>
      </c>
      <c r="D11" s="13">
        <v>7.0</v>
      </c>
      <c r="E11" s="5">
        <v>1.0</v>
      </c>
      <c r="F11" s="5">
        <v>465.0</v>
      </c>
      <c r="G11" s="5">
        <v>250.0</v>
      </c>
      <c r="H11" s="5">
        <v>1.0</v>
      </c>
      <c r="I11" s="5">
        <v>1.0</v>
      </c>
      <c r="J11" s="5">
        <f t="shared" si="1"/>
        <v>4.65</v>
      </c>
      <c r="K11" s="5" t="s">
        <v>55</v>
      </c>
      <c r="L11" s="41">
        <v>42953.0</v>
      </c>
      <c r="M11" s="9">
        <v>0.5131944444444444</v>
      </c>
      <c r="N11" s="9">
        <v>0.517361111111111</v>
      </c>
      <c r="O11" s="5" t="s">
        <v>25</v>
      </c>
      <c r="P11" s="5" t="s">
        <v>80</v>
      </c>
      <c r="Q11" s="8" t="s">
        <v>27</v>
      </c>
      <c r="R11" s="9">
        <f t="shared" si="2"/>
        <v>0.004166666667</v>
      </c>
      <c r="T11" s="1" t="s">
        <v>51</v>
      </c>
      <c r="Z11" s="41"/>
      <c r="AA11" s="9"/>
      <c r="AB11" s="9"/>
    </row>
    <row r="12" ht="15.75" customHeight="1">
      <c r="B12" s="39" t="s">
        <v>48</v>
      </c>
      <c r="C12" s="5">
        <v>1.0</v>
      </c>
      <c r="D12" s="13">
        <v>7.0</v>
      </c>
      <c r="E12" s="5">
        <v>1.0</v>
      </c>
      <c r="F12" s="5">
        <v>465.0</v>
      </c>
      <c r="G12" s="5">
        <v>250.0</v>
      </c>
      <c r="H12" s="5">
        <v>1.0</v>
      </c>
      <c r="I12" s="5">
        <v>1.0</v>
      </c>
      <c r="J12" s="5">
        <f t="shared" si="1"/>
        <v>4.65</v>
      </c>
      <c r="K12" s="5" t="s">
        <v>57</v>
      </c>
      <c r="L12" s="41">
        <v>42953.0</v>
      </c>
      <c r="M12" s="9">
        <v>0.0</v>
      </c>
      <c r="N12" s="9">
        <v>0.0</v>
      </c>
      <c r="O12" s="5" t="s">
        <v>25</v>
      </c>
      <c r="P12" s="5" t="s">
        <v>80</v>
      </c>
      <c r="Q12" s="8"/>
      <c r="R12" s="9"/>
      <c r="T12" s="5">
        <f t="array" ref="T12">_xlfn.MODE.MULT(H3:H171)</f>
        <v>2</v>
      </c>
      <c r="V12" s="1"/>
      <c r="W12" s="1"/>
      <c r="Y12" s="1"/>
      <c r="Z12" s="1"/>
      <c r="AA12" s="9"/>
      <c r="AB12" s="9"/>
    </row>
    <row r="13" ht="15.75" customHeight="1">
      <c r="B13" s="39"/>
      <c r="D13" s="13">
        <v>8.0</v>
      </c>
      <c r="J13" s="5">
        <f t="shared" si="1"/>
        <v>0</v>
      </c>
      <c r="L13" s="41">
        <v>42953.0</v>
      </c>
      <c r="M13" s="9">
        <v>0.5298611111111111</v>
      </c>
      <c r="N13" s="9">
        <v>0.5361111111111111</v>
      </c>
      <c r="O13" s="5" t="s">
        <v>25</v>
      </c>
      <c r="P13" s="5" t="s">
        <v>79</v>
      </c>
      <c r="Q13" s="8" t="s">
        <v>27</v>
      </c>
      <c r="R13" s="9">
        <f t="shared" ref="R13:R65" si="3">N13-M13</f>
        <v>0.00625</v>
      </c>
      <c r="AA13" s="9"/>
      <c r="AB13" s="9"/>
    </row>
    <row r="14" ht="15.75" customHeight="1">
      <c r="B14" s="39" t="s">
        <v>48</v>
      </c>
      <c r="C14" s="5">
        <v>1.0</v>
      </c>
      <c r="D14" s="13">
        <v>9.0</v>
      </c>
      <c r="E14" s="5">
        <v>1.0</v>
      </c>
      <c r="F14" s="5">
        <v>900.0</v>
      </c>
      <c r="G14" s="5">
        <v>50.0</v>
      </c>
      <c r="H14" s="5">
        <v>5.0</v>
      </c>
      <c r="I14" s="5">
        <v>5.0</v>
      </c>
      <c r="J14" s="5">
        <f t="shared" si="1"/>
        <v>9</v>
      </c>
      <c r="L14" s="41">
        <v>42953.0</v>
      </c>
      <c r="M14" s="9">
        <v>0.5375</v>
      </c>
      <c r="N14" s="9">
        <v>0.5555555555555556</v>
      </c>
      <c r="O14" s="5" t="s">
        <v>25</v>
      </c>
      <c r="P14" s="5" t="s">
        <v>26</v>
      </c>
      <c r="Q14" s="8" t="s">
        <v>27</v>
      </c>
      <c r="R14" s="9">
        <f t="shared" si="3"/>
        <v>0.01805555556</v>
      </c>
      <c r="T14" s="1" t="s">
        <v>53</v>
      </c>
      <c r="U14" s="1" t="s">
        <v>54</v>
      </c>
      <c r="AA14" s="9"/>
      <c r="AB14" s="9"/>
    </row>
    <row r="15" ht="15.75" customHeight="1">
      <c r="B15" s="39"/>
      <c r="D15" s="11">
        <v>10.0</v>
      </c>
      <c r="J15" s="5">
        <f t="shared" si="1"/>
        <v>0</v>
      </c>
      <c r="L15" s="41">
        <v>42953.0</v>
      </c>
      <c r="M15" s="9">
        <v>0.5631944444444444</v>
      </c>
      <c r="N15" s="9">
        <v>0.5694444444444444</v>
      </c>
      <c r="O15" s="5" t="s">
        <v>25</v>
      </c>
      <c r="P15" s="5" t="s">
        <v>26</v>
      </c>
      <c r="Q15" s="8" t="s">
        <v>27</v>
      </c>
      <c r="R15" s="9">
        <f t="shared" si="3"/>
        <v>0.00625</v>
      </c>
      <c r="T15" s="19">
        <f>SUM(R3:R171)</f>
        <v>0.8298611111</v>
      </c>
      <c r="U15" s="20"/>
      <c r="AA15" s="7"/>
      <c r="AB15" s="7"/>
      <c r="AC15" s="8"/>
    </row>
    <row r="16" ht="15.75" customHeight="1">
      <c r="B16" s="39"/>
      <c r="D16" s="11">
        <v>11.0</v>
      </c>
      <c r="J16" s="5">
        <f t="shared" si="1"/>
        <v>0</v>
      </c>
      <c r="L16" s="41">
        <v>42953.0</v>
      </c>
      <c r="M16" s="9">
        <v>0.5729166666666666</v>
      </c>
      <c r="N16" s="9">
        <v>0.5791666666666667</v>
      </c>
      <c r="O16" s="5" t="s">
        <v>25</v>
      </c>
      <c r="P16" s="5" t="s">
        <v>81</v>
      </c>
      <c r="Q16" s="8" t="s">
        <v>27</v>
      </c>
      <c r="R16" s="9">
        <f t="shared" si="3"/>
        <v>0.00625</v>
      </c>
      <c r="AA16" s="7"/>
      <c r="AB16" s="7"/>
      <c r="AC16" s="8"/>
      <c r="AD16" s="8"/>
    </row>
    <row r="17" ht="15.75" customHeight="1">
      <c r="B17" s="42"/>
      <c r="C17" s="22"/>
      <c r="D17" s="22">
        <v>12.0</v>
      </c>
      <c r="E17" s="22"/>
      <c r="F17" s="22"/>
      <c r="G17" s="22"/>
      <c r="H17" s="22"/>
      <c r="I17" s="22"/>
      <c r="J17" s="5">
        <f t="shared" si="1"/>
        <v>0</v>
      </c>
      <c r="K17" s="22"/>
      <c r="L17" s="23">
        <v>42953.0</v>
      </c>
      <c r="M17" s="33">
        <v>0.5833333333333334</v>
      </c>
      <c r="N17" s="33">
        <v>0.5923611111111111</v>
      </c>
      <c r="O17" s="22" t="s">
        <v>25</v>
      </c>
      <c r="P17" s="22" t="s">
        <v>79</v>
      </c>
      <c r="Q17" s="8" t="s">
        <v>40</v>
      </c>
      <c r="R17" s="9">
        <f t="shared" si="3"/>
        <v>0.009027777778</v>
      </c>
      <c r="T17" s="1" t="s">
        <v>58</v>
      </c>
      <c r="AA17" s="7"/>
      <c r="AB17" s="7"/>
      <c r="AC17" s="8"/>
      <c r="AD17" s="8"/>
    </row>
    <row r="18" ht="15.75" customHeight="1">
      <c r="B18" s="39" t="s">
        <v>48</v>
      </c>
      <c r="C18" s="5">
        <v>1.0</v>
      </c>
      <c r="D18" s="13">
        <v>4.0</v>
      </c>
      <c r="E18" s="5">
        <v>1.0</v>
      </c>
      <c r="F18" s="5">
        <v>390.0</v>
      </c>
      <c r="G18" s="5">
        <v>220.0</v>
      </c>
      <c r="H18" s="5">
        <v>7.0</v>
      </c>
      <c r="I18" s="5">
        <v>1.0</v>
      </c>
      <c r="J18" s="5">
        <f t="shared" si="1"/>
        <v>3.9</v>
      </c>
      <c r="L18" s="34">
        <v>43030.0</v>
      </c>
      <c r="M18" s="9">
        <v>0.45694444444444443</v>
      </c>
      <c r="N18" s="9">
        <v>0.46527777777777773</v>
      </c>
      <c r="O18" s="5" t="s">
        <v>25</v>
      </c>
      <c r="Q18" s="8"/>
      <c r="R18" s="9">
        <f t="shared" si="3"/>
        <v>0.008333333333</v>
      </c>
      <c r="T18" s="39" t="s">
        <v>48</v>
      </c>
      <c r="AA18" s="9"/>
      <c r="AB18" s="9"/>
    </row>
    <row r="19" ht="15.75" customHeight="1">
      <c r="B19" s="39"/>
      <c r="D19" s="5">
        <v>5.0</v>
      </c>
      <c r="J19" s="5">
        <f t="shared" si="1"/>
        <v>0</v>
      </c>
      <c r="L19" s="34">
        <v>43030.0</v>
      </c>
      <c r="M19" s="9">
        <v>0.4680555555555555</v>
      </c>
      <c r="N19" s="9">
        <v>0.47430555555555554</v>
      </c>
      <c r="O19" s="5" t="s">
        <v>25</v>
      </c>
      <c r="P19" s="5" t="s">
        <v>63</v>
      </c>
      <c r="Q19" s="8"/>
      <c r="R19" s="9">
        <f t="shared" si="3"/>
        <v>0.00625</v>
      </c>
      <c r="Z19" s="27"/>
      <c r="AA19" s="7"/>
      <c r="AB19" s="7"/>
      <c r="AC19" s="8"/>
      <c r="AD19" s="8"/>
    </row>
    <row r="20" ht="15.75" customHeight="1">
      <c r="B20" s="39"/>
      <c r="D20" s="5">
        <v>6.0</v>
      </c>
      <c r="J20" s="5">
        <f t="shared" si="1"/>
        <v>0</v>
      </c>
      <c r="L20" s="34">
        <v>43030.0</v>
      </c>
      <c r="M20" s="9">
        <v>0.4784722222222222</v>
      </c>
      <c r="N20" s="9">
        <v>0.4826388888888889</v>
      </c>
      <c r="O20" s="5" t="s">
        <v>25</v>
      </c>
      <c r="P20" s="5" t="s">
        <v>63</v>
      </c>
      <c r="Q20" s="8"/>
      <c r="R20" s="9">
        <f t="shared" si="3"/>
        <v>0.004166666667</v>
      </c>
      <c r="Z20" s="27"/>
      <c r="AA20" s="7"/>
      <c r="AB20" s="7"/>
      <c r="AC20" s="8"/>
      <c r="AD20" s="8"/>
    </row>
    <row r="21" ht="15.75" customHeight="1">
      <c r="B21" s="39"/>
      <c r="D21" s="13">
        <v>3.0</v>
      </c>
      <c r="J21" s="5">
        <f t="shared" si="1"/>
        <v>0</v>
      </c>
      <c r="L21" s="34">
        <v>43030.0</v>
      </c>
      <c r="M21" s="9">
        <v>0.4979166666666666</v>
      </c>
      <c r="N21" s="9">
        <v>0.5034722222222222</v>
      </c>
      <c r="O21" s="5" t="s">
        <v>25</v>
      </c>
      <c r="Q21" s="8"/>
      <c r="R21" s="9">
        <f t="shared" si="3"/>
        <v>0.005555555556</v>
      </c>
      <c r="Z21" s="27"/>
      <c r="AA21" s="7"/>
      <c r="AB21" s="7"/>
      <c r="AC21" s="8"/>
    </row>
    <row r="22" ht="15.75" customHeight="1">
      <c r="B22" s="39"/>
      <c r="D22" s="13">
        <v>2.0</v>
      </c>
      <c r="J22" s="5">
        <f t="shared" si="1"/>
        <v>0</v>
      </c>
      <c r="L22" s="34">
        <v>43030.0</v>
      </c>
      <c r="M22" s="9">
        <v>0.5090277777777777</v>
      </c>
      <c r="N22" s="9">
        <v>0.5152777777777778</v>
      </c>
      <c r="O22" s="5" t="s">
        <v>25</v>
      </c>
      <c r="Q22" s="8"/>
      <c r="R22" s="9">
        <f t="shared" si="3"/>
        <v>0.00625</v>
      </c>
      <c r="Z22" s="27"/>
      <c r="AA22" s="7"/>
      <c r="AB22" s="7"/>
      <c r="AC22" s="8"/>
    </row>
    <row r="23" ht="15.75" customHeight="1">
      <c r="B23" s="39"/>
      <c r="D23" s="13">
        <v>9.0</v>
      </c>
      <c r="J23" s="5">
        <f t="shared" si="1"/>
        <v>0</v>
      </c>
      <c r="L23" s="34">
        <v>43030.0</v>
      </c>
      <c r="M23" s="9">
        <v>0.5208333333333334</v>
      </c>
      <c r="N23" s="9">
        <v>0.5277777777777778</v>
      </c>
      <c r="O23" s="5" t="s">
        <v>25</v>
      </c>
      <c r="Q23" s="8"/>
      <c r="R23" s="9">
        <f t="shared" si="3"/>
        <v>0.006944444444</v>
      </c>
      <c r="Z23" s="27"/>
      <c r="AA23" s="7"/>
      <c r="AB23" s="7"/>
      <c r="AC23" s="8"/>
    </row>
    <row r="24" ht="15.75" customHeight="1">
      <c r="B24" s="39"/>
      <c r="D24" s="13">
        <v>7.0</v>
      </c>
      <c r="J24" s="5">
        <f t="shared" si="1"/>
        <v>0</v>
      </c>
      <c r="L24" s="34">
        <v>43030.0</v>
      </c>
      <c r="M24" s="9">
        <v>0.5291666666666667</v>
      </c>
      <c r="N24" s="9">
        <v>0.5388888888888889</v>
      </c>
      <c r="O24" s="5" t="s">
        <v>25</v>
      </c>
      <c r="Q24" s="8"/>
      <c r="R24" s="9">
        <f t="shared" si="3"/>
        <v>0.009722222222</v>
      </c>
      <c r="Z24" s="27"/>
      <c r="AA24" s="7"/>
      <c r="AB24" s="7"/>
      <c r="AC24" s="8"/>
    </row>
    <row r="25" ht="15.75" customHeight="1">
      <c r="B25" s="39" t="s">
        <v>48</v>
      </c>
      <c r="C25" s="5">
        <v>1.0</v>
      </c>
      <c r="D25" s="13">
        <v>8.0</v>
      </c>
      <c r="E25" s="5">
        <v>1.0</v>
      </c>
      <c r="F25" s="5">
        <v>313.0</v>
      </c>
      <c r="G25" s="5">
        <v>197.0</v>
      </c>
      <c r="H25" s="5">
        <v>2.0</v>
      </c>
      <c r="I25" s="5">
        <v>5.0</v>
      </c>
      <c r="J25" s="5">
        <f t="shared" si="1"/>
        <v>3.13</v>
      </c>
      <c r="L25" s="34">
        <v>43030.0</v>
      </c>
      <c r="M25" s="9">
        <v>0.5465277777777778</v>
      </c>
      <c r="N25" s="9">
        <v>0.5541666666666667</v>
      </c>
      <c r="O25" s="5" t="s">
        <v>25</v>
      </c>
      <c r="P25" s="5" t="s">
        <v>59</v>
      </c>
      <c r="Q25" s="8"/>
      <c r="R25" s="9">
        <f t="shared" si="3"/>
        <v>0.007638888889</v>
      </c>
      <c r="Z25" s="34"/>
      <c r="AA25" s="9"/>
      <c r="AB25" s="9"/>
    </row>
    <row r="26" ht="15.75" customHeight="1">
      <c r="B26" s="39" t="s">
        <v>48</v>
      </c>
      <c r="C26" s="5">
        <v>1.0</v>
      </c>
      <c r="D26" s="5">
        <v>10.0</v>
      </c>
      <c r="E26" s="5">
        <v>1.0</v>
      </c>
      <c r="F26" s="5">
        <v>302.0</v>
      </c>
      <c r="G26" s="5">
        <v>183.0</v>
      </c>
      <c r="H26" s="5">
        <v>2.0</v>
      </c>
      <c r="I26" s="5">
        <v>1.0</v>
      </c>
      <c r="J26" s="5">
        <f t="shared" si="1"/>
        <v>3.02</v>
      </c>
      <c r="L26" s="34">
        <v>43030.0</v>
      </c>
      <c r="M26" s="9">
        <v>0.5597222222222222</v>
      </c>
      <c r="N26" s="9">
        <v>0.56875</v>
      </c>
      <c r="O26" s="5" t="s">
        <v>25</v>
      </c>
      <c r="Q26" s="8"/>
      <c r="R26" s="9">
        <f t="shared" si="3"/>
        <v>0.009027777778</v>
      </c>
      <c r="Z26" s="27"/>
      <c r="AA26" s="7"/>
      <c r="AB26" s="7"/>
      <c r="AC26" s="8"/>
    </row>
    <row r="27" ht="15.75" customHeight="1">
      <c r="B27" s="39" t="s">
        <v>48</v>
      </c>
      <c r="C27" s="5">
        <v>1.0</v>
      </c>
      <c r="D27" s="5">
        <v>10.0</v>
      </c>
      <c r="E27" s="5">
        <v>1.0</v>
      </c>
      <c r="F27" s="5">
        <v>302.0</v>
      </c>
      <c r="G27" s="5">
        <v>183.0</v>
      </c>
      <c r="H27" s="5">
        <v>2.0</v>
      </c>
      <c r="I27" s="5">
        <v>5.0</v>
      </c>
      <c r="J27" s="5">
        <f t="shared" si="1"/>
        <v>3.02</v>
      </c>
      <c r="L27" s="34">
        <v>43030.0</v>
      </c>
      <c r="M27" s="9">
        <v>0.0</v>
      </c>
      <c r="N27" s="9">
        <v>0.0</v>
      </c>
      <c r="O27" s="5" t="s">
        <v>25</v>
      </c>
      <c r="Q27" s="8"/>
      <c r="R27" s="9">
        <f t="shared" si="3"/>
        <v>0</v>
      </c>
      <c r="Z27" s="27"/>
      <c r="AA27" s="9"/>
      <c r="AB27" s="9"/>
      <c r="AC27" s="8"/>
    </row>
    <row r="28" ht="15.75" customHeight="1">
      <c r="B28" s="39"/>
      <c r="D28" s="5">
        <v>11.0</v>
      </c>
      <c r="J28" s="5">
        <f t="shared" si="1"/>
        <v>0</v>
      </c>
      <c r="L28" s="27">
        <v>43030.0</v>
      </c>
      <c r="M28" s="9">
        <v>0.5708333333333333</v>
      </c>
      <c r="N28" s="9">
        <v>0.5819444444444445</v>
      </c>
      <c r="O28" s="8" t="s">
        <v>25</v>
      </c>
      <c r="Q28" s="7"/>
      <c r="R28" s="9">
        <f t="shared" si="3"/>
        <v>0.01111111111</v>
      </c>
      <c r="Z28" s="27"/>
      <c r="AA28" s="7"/>
      <c r="AB28" s="7"/>
      <c r="AC28" s="8"/>
    </row>
    <row r="29" ht="15.75" customHeight="1">
      <c r="B29" s="39"/>
      <c r="D29" s="5">
        <v>1.0</v>
      </c>
      <c r="J29" s="5">
        <f t="shared" si="1"/>
        <v>0</v>
      </c>
      <c r="L29" s="27">
        <v>43030.0</v>
      </c>
      <c r="M29" s="9">
        <v>0.5875</v>
      </c>
      <c r="N29" s="9">
        <v>0.59375</v>
      </c>
      <c r="O29" s="5" t="s">
        <v>65</v>
      </c>
      <c r="Q29" s="8"/>
      <c r="R29" s="9">
        <f t="shared" si="3"/>
        <v>0.00625</v>
      </c>
      <c r="Z29" s="27"/>
      <c r="AA29" s="7"/>
      <c r="AB29" s="7"/>
      <c r="AC29" s="8"/>
    </row>
    <row r="30" ht="15.75" customHeight="1">
      <c r="B30" s="42"/>
      <c r="C30" s="22"/>
      <c r="D30" s="22">
        <v>12.0</v>
      </c>
      <c r="E30" s="22"/>
      <c r="F30" s="22"/>
      <c r="G30" s="22"/>
      <c r="H30" s="22"/>
      <c r="I30" s="22"/>
      <c r="J30" s="5">
        <f t="shared" si="1"/>
        <v>0</v>
      </c>
      <c r="K30" s="22"/>
      <c r="L30" s="29">
        <v>43030.0</v>
      </c>
      <c r="M30" s="24">
        <v>0.5979166666666667</v>
      </c>
      <c r="N30" s="24">
        <v>0.6048611111111112</v>
      </c>
      <c r="O30" s="25" t="s">
        <v>65</v>
      </c>
      <c r="P30" s="22"/>
      <c r="Q30" s="8"/>
      <c r="R30" s="9">
        <f t="shared" si="3"/>
        <v>0.006944444444</v>
      </c>
      <c r="Z30" s="27"/>
      <c r="AA30" s="7"/>
      <c r="AB30" s="7"/>
      <c r="AC30" s="8"/>
    </row>
    <row r="31" ht="15.75" customHeight="1">
      <c r="B31" s="39"/>
      <c r="D31" s="5">
        <v>1.0</v>
      </c>
      <c r="J31" s="5">
        <f t="shared" si="1"/>
        <v>0</v>
      </c>
      <c r="L31" s="34">
        <v>43044.0</v>
      </c>
      <c r="M31" s="9">
        <v>0.43472222222222223</v>
      </c>
      <c r="N31" s="9">
        <v>0.44027777777777777</v>
      </c>
      <c r="O31" s="5" t="s">
        <v>25</v>
      </c>
      <c r="Q31" s="8"/>
      <c r="R31" s="9">
        <f t="shared" si="3"/>
        <v>0.005555555556</v>
      </c>
      <c r="Z31" s="27"/>
      <c r="AA31" s="7"/>
      <c r="AB31" s="7"/>
      <c r="AC31" s="8"/>
    </row>
    <row r="32" ht="15.75" customHeight="1">
      <c r="B32" s="39"/>
      <c r="D32" s="13">
        <v>2.0</v>
      </c>
      <c r="J32" s="5">
        <f t="shared" si="1"/>
        <v>0</v>
      </c>
      <c r="L32" s="34">
        <v>43044.0</v>
      </c>
      <c r="M32" s="9">
        <v>0.44305555555555554</v>
      </c>
      <c r="N32" s="9">
        <v>0.45</v>
      </c>
      <c r="O32" s="8" t="s">
        <v>25</v>
      </c>
      <c r="Q32" s="8"/>
      <c r="R32" s="9">
        <f t="shared" si="3"/>
        <v>0.006944444444</v>
      </c>
      <c r="Z32" s="27"/>
      <c r="AA32" s="7"/>
      <c r="AB32" s="7"/>
      <c r="AC32" s="8"/>
    </row>
    <row r="33" ht="15.75" customHeight="1">
      <c r="B33" s="39" t="s">
        <v>48</v>
      </c>
      <c r="C33" s="5">
        <v>1.0</v>
      </c>
      <c r="D33" s="38">
        <v>3.0</v>
      </c>
      <c r="E33" s="8">
        <v>1.0</v>
      </c>
      <c r="F33" s="8">
        <v>232.0</v>
      </c>
      <c r="G33" s="8">
        <v>320.0</v>
      </c>
      <c r="H33" s="8">
        <v>1.0</v>
      </c>
      <c r="I33" s="8">
        <v>1.0</v>
      </c>
      <c r="J33" s="5">
        <f t="shared" si="1"/>
        <v>2.32</v>
      </c>
      <c r="K33" s="8"/>
      <c r="L33" s="27">
        <v>43044.0</v>
      </c>
      <c r="M33" s="7">
        <v>0.4534722222222222</v>
      </c>
      <c r="N33" s="7">
        <v>0.4604166666666667</v>
      </c>
      <c r="O33" s="8" t="s">
        <v>25</v>
      </c>
      <c r="Q33" s="8"/>
      <c r="R33" s="9">
        <f t="shared" si="3"/>
        <v>0.006944444444</v>
      </c>
      <c r="Z33" s="27"/>
      <c r="AA33" s="9"/>
      <c r="AB33" s="9"/>
      <c r="AC33" s="8"/>
    </row>
    <row r="34" ht="15.75" customHeight="1">
      <c r="B34" s="39"/>
      <c r="D34" s="13">
        <v>4.0</v>
      </c>
      <c r="J34" s="5">
        <f t="shared" si="1"/>
        <v>0</v>
      </c>
      <c r="L34" s="27">
        <v>43044.0</v>
      </c>
      <c r="M34" s="9">
        <v>0.46249999999999997</v>
      </c>
      <c r="N34" s="9">
        <v>0.4680555555555555</v>
      </c>
      <c r="O34" s="8" t="s">
        <v>25</v>
      </c>
      <c r="Q34" s="8"/>
      <c r="R34" s="9">
        <f t="shared" si="3"/>
        <v>0.005555555556</v>
      </c>
      <c r="Z34" s="27"/>
      <c r="AA34" s="7"/>
      <c r="AB34" s="7"/>
      <c r="AC34" s="8"/>
    </row>
    <row r="35" ht="15.75" customHeight="1">
      <c r="B35" s="39" t="s">
        <v>48</v>
      </c>
      <c r="C35" s="5">
        <v>1.0</v>
      </c>
      <c r="D35" s="5">
        <v>6.0</v>
      </c>
      <c r="E35" s="8">
        <v>1.0</v>
      </c>
      <c r="F35" s="8">
        <v>283.0</v>
      </c>
      <c r="G35" s="8">
        <v>232.0</v>
      </c>
      <c r="H35" s="8">
        <v>1.0</v>
      </c>
      <c r="I35" s="8">
        <v>1.0</v>
      </c>
      <c r="J35" s="5">
        <f t="shared" si="1"/>
        <v>2.83</v>
      </c>
      <c r="L35" s="27">
        <v>43044.0</v>
      </c>
      <c r="M35" s="7">
        <v>0.47500000000000003</v>
      </c>
      <c r="N35" s="7">
        <v>0.4826388888888889</v>
      </c>
      <c r="O35" s="8" t="s">
        <v>25</v>
      </c>
      <c r="P35" s="8" t="s">
        <v>63</v>
      </c>
      <c r="Q35" s="8"/>
      <c r="R35" s="9">
        <f t="shared" si="3"/>
        <v>0.007638888889</v>
      </c>
      <c r="Z35" s="27"/>
      <c r="AA35" s="9"/>
      <c r="AB35" s="9"/>
      <c r="AC35" s="8"/>
    </row>
    <row r="36" ht="15.75" customHeight="1">
      <c r="B36" s="39"/>
      <c r="D36" s="5">
        <v>5.0</v>
      </c>
      <c r="J36" s="5">
        <f t="shared" si="1"/>
        <v>0</v>
      </c>
      <c r="L36" s="27">
        <v>43044.0</v>
      </c>
      <c r="M36" s="9">
        <v>0.4861111111111111</v>
      </c>
      <c r="N36" s="9">
        <v>0.4909722222222222</v>
      </c>
      <c r="O36" s="8" t="s">
        <v>25</v>
      </c>
      <c r="P36" s="5" t="s">
        <v>63</v>
      </c>
      <c r="Q36" s="8"/>
      <c r="R36" s="9">
        <f t="shared" si="3"/>
        <v>0.004861111111</v>
      </c>
      <c r="Z36" s="27"/>
      <c r="AA36" s="9"/>
      <c r="AB36" s="9"/>
      <c r="AC36" s="8"/>
    </row>
    <row r="37" ht="15.75" customHeight="1">
      <c r="B37" s="39"/>
      <c r="D37" s="13">
        <v>8.0</v>
      </c>
      <c r="J37" s="5">
        <f t="shared" si="1"/>
        <v>0</v>
      </c>
      <c r="L37" s="27">
        <v>43044.0</v>
      </c>
      <c r="M37" s="9">
        <v>0.5069444444444444</v>
      </c>
      <c r="N37" s="9">
        <v>0.513888888888889</v>
      </c>
      <c r="O37" s="8" t="s">
        <v>25</v>
      </c>
      <c r="Q37" s="8"/>
      <c r="R37" s="9">
        <f t="shared" si="3"/>
        <v>0.006944444444</v>
      </c>
      <c r="Z37" s="27"/>
      <c r="AA37" s="7"/>
      <c r="AB37" s="7"/>
      <c r="AC37" s="8"/>
    </row>
    <row r="38" ht="15.75" customHeight="1">
      <c r="B38" s="39"/>
      <c r="D38" s="13">
        <v>9.0</v>
      </c>
      <c r="J38" s="5">
        <f t="shared" si="1"/>
        <v>0</v>
      </c>
      <c r="L38" s="27">
        <v>43044.0</v>
      </c>
      <c r="M38" s="7">
        <v>0.5208333333333334</v>
      </c>
      <c r="N38" s="7">
        <v>0.5284722222222222</v>
      </c>
      <c r="O38" s="8" t="s">
        <v>25</v>
      </c>
      <c r="P38" s="8" t="s">
        <v>79</v>
      </c>
      <c r="Q38" s="8"/>
      <c r="R38" s="9">
        <f t="shared" si="3"/>
        <v>0.007638888889</v>
      </c>
      <c r="Z38" s="27"/>
      <c r="AA38" s="7"/>
      <c r="AB38" s="7"/>
      <c r="AC38" s="8"/>
    </row>
    <row r="39" ht="15.75" customHeight="1">
      <c r="B39" s="39"/>
      <c r="D39" s="5">
        <v>11.0</v>
      </c>
      <c r="J39" s="5">
        <f t="shared" si="1"/>
        <v>0</v>
      </c>
      <c r="L39" s="27">
        <v>43044.0</v>
      </c>
      <c r="M39" s="9">
        <v>0.5347222222222222</v>
      </c>
      <c r="N39" s="9">
        <v>0.548611111111111</v>
      </c>
      <c r="O39" s="8" t="s">
        <v>25</v>
      </c>
      <c r="Q39" s="8"/>
      <c r="R39" s="9">
        <f t="shared" si="3"/>
        <v>0.01388888889</v>
      </c>
      <c r="Z39" s="27"/>
      <c r="AA39" s="9"/>
      <c r="AB39" s="9"/>
      <c r="AC39" s="8"/>
    </row>
    <row r="40" ht="15.75" customHeight="1">
      <c r="B40" s="39"/>
      <c r="D40" s="5">
        <v>10.0</v>
      </c>
      <c r="J40" s="5">
        <f t="shared" si="1"/>
        <v>0</v>
      </c>
      <c r="L40" s="27">
        <v>43044.0</v>
      </c>
      <c r="M40" s="7">
        <v>0.5381944444444444</v>
      </c>
      <c r="N40" s="7">
        <v>0.545138888888889</v>
      </c>
      <c r="O40" s="8" t="s">
        <v>25</v>
      </c>
      <c r="Q40" s="8"/>
      <c r="R40" s="9">
        <f t="shared" si="3"/>
        <v>0.006944444444</v>
      </c>
      <c r="Z40" s="27"/>
      <c r="AA40" s="9"/>
      <c r="AB40" s="9"/>
      <c r="AC40" s="8"/>
    </row>
    <row r="41" ht="15.75" customHeight="1">
      <c r="B41" s="39"/>
      <c r="D41" s="13">
        <v>7.0</v>
      </c>
      <c r="J41" s="5">
        <f t="shared" si="1"/>
        <v>0</v>
      </c>
      <c r="L41" s="27">
        <v>43044.0</v>
      </c>
      <c r="M41" s="9">
        <v>0.49374999999999997</v>
      </c>
      <c r="N41" s="9">
        <v>0.5013888888888889</v>
      </c>
      <c r="O41" s="8" t="s">
        <v>25</v>
      </c>
      <c r="Q41" s="8"/>
      <c r="R41" s="9">
        <f t="shared" si="3"/>
        <v>0.007638888889</v>
      </c>
      <c r="Z41" s="27"/>
      <c r="AA41" s="9"/>
      <c r="AB41" s="9"/>
      <c r="AC41" s="8"/>
    </row>
    <row r="42" ht="15.75" customHeight="1">
      <c r="B42" s="42"/>
      <c r="C42" s="22"/>
      <c r="D42" s="22">
        <v>12.0</v>
      </c>
      <c r="E42" s="22"/>
      <c r="F42" s="22"/>
      <c r="G42" s="22"/>
      <c r="H42" s="22"/>
      <c r="I42" s="22"/>
      <c r="J42" s="5">
        <f t="shared" si="1"/>
        <v>0</v>
      </c>
      <c r="K42" s="22"/>
      <c r="L42" s="29">
        <v>43044.0</v>
      </c>
      <c r="M42" s="24">
        <v>0.5534722222222223</v>
      </c>
      <c r="N42" s="24">
        <v>0.5597222222222222</v>
      </c>
      <c r="O42" s="25" t="s">
        <v>25</v>
      </c>
      <c r="P42" s="22"/>
      <c r="Q42" s="8"/>
      <c r="R42" s="9">
        <f t="shared" si="3"/>
        <v>0.00625</v>
      </c>
      <c r="Z42" s="27"/>
      <c r="AA42" s="9"/>
      <c r="AB42" s="9"/>
      <c r="AC42" s="8"/>
    </row>
    <row r="43" ht="15.75" customHeight="1">
      <c r="B43" s="39" t="s">
        <v>48</v>
      </c>
      <c r="C43" s="5">
        <v>1.0</v>
      </c>
      <c r="D43" s="5">
        <v>1.0</v>
      </c>
      <c r="E43" s="5">
        <v>1.0</v>
      </c>
      <c r="F43" s="5">
        <v>277.0</v>
      </c>
      <c r="G43" s="5">
        <v>245.0</v>
      </c>
      <c r="H43" s="5">
        <v>2.0</v>
      </c>
      <c r="I43" s="5">
        <v>1.0</v>
      </c>
      <c r="J43" s="5">
        <f t="shared" si="1"/>
        <v>2.77</v>
      </c>
      <c r="L43" s="34">
        <v>43091.0</v>
      </c>
      <c r="M43" s="9">
        <v>0.4708333333333334</v>
      </c>
      <c r="N43" s="9">
        <v>0.4791666666666667</v>
      </c>
      <c r="O43" s="8" t="s">
        <v>25</v>
      </c>
      <c r="Q43" s="8"/>
      <c r="R43" s="9">
        <f t="shared" si="3"/>
        <v>0.008333333333</v>
      </c>
      <c r="Z43" s="27"/>
      <c r="AA43" s="9"/>
      <c r="AB43" s="9"/>
      <c r="AC43" s="8"/>
    </row>
    <row r="44" ht="15.75" customHeight="1">
      <c r="B44" s="39"/>
      <c r="D44" s="13">
        <v>2.0</v>
      </c>
      <c r="J44" s="5">
        <f t="shared" si="1"/>
        <v>0</v>
      </c>
      <c r="L44" s="34">
        <v>43091.0</v>
      </c>
      <c r="M44" s="9">
        <v>0.48541666666666666</v>
      </c>
      <c r="N44" s="9">
        <v>0.4909722222222222</v>
      </c>
      <c r="O44" s="8" t="s">
        <v>25</v>
      </c>
      <c r="P44" s="5" t="s">
        <v>78</v>
      </c>
      <c r="Q44" s="8"/>
      <c r="R44" s="9">
        <f t="shared" si="3"/>
        <v>0.005555555556</v>
      </c>
      <c r="Z44" s="27"/>
      <c r="AA44" s="7"/>
      <c r="AB44" s="7"/>
      <c r="AC44" s="8"/>
    </row>
    <row r="45" ht="15.75" customHeight="1">
      <c r="B45" s="39"/>
      <c r="D45" s="13">
        <v>3.0</v>
      </c>
      <c r="J45" s="5">
        <f t="shared" si="1"/>
        <v>0</v>
      </c>
      <c r="L45" s="27">
        <v>43091.0</v>
      </c>
      <c r="M45" s="7">
        <v>0.49444444444444446</v>
      </c>
      <c r="N45" s="7">
        <v>0.5006944444444444</v>
      </c>
      <c r="O45" s="8" t="s">
        <v>25</v>
      </c>
      <c r="Q45" s="8"/>
      <c r="R45" s="9">
        <f t="shared" si="3"/>
        <v>0.00625</v>
      </c>
      <c r="Z45" s="27"/>
      <c r="AA45" s="7"/>
      <c r="AB45" s="7"/>
      <c r="AC45" s="8"/>
    </row>
    <row r="46" ht="15.75" customHeight="1">
      <c r="B46" s="39"/>
      <c r="D46" s="13">
        <v>4.0</v>
      </c>
      <c r="J46" s="5">
        <f t="shared" si="1"/>
        <v>0</v>
      </c>
      <c r="L46" s="27">
        <v>43091.0</v>
      </c>
      <c r="M46" s="7">
        <v>0.5048611111111111</v>
      </c>
      <c r="N46" s="7">
        <v>0.5097222222222222</v>
      </c>
      <c r="O46" s="8" t="s">
        <v>25</v>
      </c>
      <c r="Q46" s="8"/>
      <c r="R46" s="9">
        <f t="shared" si="3"/>
        <v>0.004861111111</v>
      </c>
      <c r="Z46" s="27"/>
      <c r="AA46" s="9"/>
      <c r="AB46" s="9"/>
      <c r="AC46" s="8"/>
    </row>
    <row r="47" ht="15.75" customHeight="1">
      <c r="B47" s="39"/>
      <c r="D47" s="5">
        <v>6.0</v>
      </c>
      <c r="J47" s="5">
        <f t="shared" si="1"/>
        <v>0</v>
      </c>
      <c r="L47" s="27">
        <v>43091.0</v>
      </c>
      <c r="M47" s="9">
        <v>0.5229166666666667</v>
      </c>
      <c r="N47" s="9">
        <v>0.5270833333333333</v>
      </c>
      <c r="O47" s="8" t="s">
        <v>25</v>
      </c>
      <c r="P47" s="5" t="s">
        <v>63</v>
      </c>
      <c r="Q47" s="8"/>
      <c r="R47" s="9">
        <f t="shared" si="3"/>
        <v>0.004166666667</v>
      </c>
      <c r="Z47" s="27"/>
      <c r="AA47" s="7"/>
      <c r="AB47" s="7"/>
      <c r="AC47" s="8"/>
    </row>
    <row r="48" ht="15.75" customHeight="1">
      <c r="B48" s="39"/>
      <c r="D48" s="5">
        <v>5.0</v>
      </c>
      <c r="J48" s="5">
        <f t="shared" si="1"/>
        <v>0</v>
      </c>
      <c r="L48" s="27">
        <v>43091.0</v>
      </c>
      <c r="M48" s="9">
        <v>0.5291666666666667</v>
      </c>
      <c r="N48" s="9">
        <v>0.5361111111111111</v>
      </c>
      <c r="O48" s="8" t="s">
        <v>25</v>
      </c>
      <c r="Q48" s="8"/>
      <c r="R48" s="9">
        <f t="shared" si="3"/>
        <v>0.006944444444</v>
      </c>
      <c r="Z48" s="27"/>
      <c r="AA48" s="9"/>
      <c r="AB48" s="9"/>
      <c r="AC48" s="8"/>
    </row>
    <row r="49" ht="15.75" customHeight="1">
      <c r="B49" s="39"/>
      <c r="D49" s="13">
        <v>7.0</v>
      </c>
      <c r="J49" s="5">
        <f t="shared" si="1"/>
        <v>0</v>
      </c>
      <c r="L49" s="27">
        <v>43091.0</v>
      </c>
      <c r="M49" s="9">
        <v>0.5381944444444444</v>
      </c>
      <c r="N49" s="9">
        <v>0.5437500000000001</v>
      </c>
      <c r="O49" s="8" t="s">
        <v>25</v>
      </c>
      <c r="Q49" s="8"/>
      <c r="R49" s="9">
        <f t="shared" si="3"/>
        <v>0.005555555556</v>
      </c>
      <c r="Z49" s="27"/>
      <c r="AA49" s="7"/>
      <c r="AB49" s="7"/>
      <c r="AC49" s="8"/>
    </row>
    <row r="50" ht="15.75" customHeight="1">
      <c r="B50" s="39"/>
      <c r="D50" s="13">
        <v>8.0</v>
      </c>
      <c r="J50" s="5">
        <f t="shared" si="1"/>
        <v>0</v>
      </c>
      <c r="L50" s="27">
        <v>43091.0</v>
      </c>
      <c r="M50" s="9">
        <v>0.5520833333333334</v>
      </c>
      <c r="N50" s="9">
        <v>0.5569444444444445</v>
      </c>
      <c r="O50" s="8" t="s">
        <v>25</v>
      </c>
      <c r="Q50" s="8"/>
      <c r="R50" s="9">
        <f t="shared" si="3"/>
        <v>0.004861111111</v>
      </c>
      <c r="Z50" s="27"/>
      <c r="AA50" s="7"/>
      <c r="AB50" s="7"/>
      <c r="AC50" s="8"/>
      <c r="AD50" s="8"/>
    </row>
    <row r="51" ht="15.75" customHeight="1">
      <c r="B51" s="39"/>
      <c r="D51" s="13">
        <v>9.0</v>
      </c>
      <c r="J51" s="5">
        <f t="shared" si="1"/>
        <v>0</v>
      </c>
      <c r="L51" s="27">
        <v>43091.0</v>
      </c>
      <c r="M51" s="9">
        <v>0.5576388888888889</v>
      </c>
      <c r="N51" s="9">
        <v>0.5625</v>
      </c>
      <c r="O51" s="8" t="s">
        <v>25</v>
      </c>
      <c r="Q51" s="8"/>
      <c r="R51" s="9">
        <f t="shared" si="3"/>
        <v>0.004861111111</v>
      </c>
      <c r="Z51" s="27"/>
      <c r="AA51" s="9"/>
      <c r="AB51" s="9"/>
      <c r="AC51" s="8"/>
    </row>
    <row r="52" ht="15.75" customHeight="1">
      <c r="B52" s="39"/>
      <c r="D52" s="5">
        <v>10.0</v>
      </c>
      <c r="J52" s="5">
        <f t="shared" si="1"/>
        <v>0</v>
      </c>
      <c r="L52" s="27">
        <v>43091.0</v>
      </c>
      <c r="M52" s="9">
        <v>0.5736111111111112</v>
      </c>
      <c r="N52" s="9">
        <v>0.579861111111111</v>
      </c>
      <c r="O52" s="8" t="s">
        <v>25</v>
      </c>
      <c r="Q52" s="8"/>
      <c r="R52" s="9">
        <f t="shared" si="3"/>
        <v>0.00625</v>
      </c>
      <c r="Z52" s="27"/>
      <c r="AA52" s="9"/>
      <c r="AB52" s="9"/>
      <c r="AC52" s="8"/>
    </row>
    <row r="53" ht="15.75" customHeight="1">
      <c r="B53" s="39" t="s">
        <v>48</v>
      </c>
      <c r="C53" s="5">
        <v>1.0</v>
      </c>
      <c r="D53" s="5">
        <v>11.0</v>
      </c>
      <c r="E53" s="5">
        <v>1.0</v>
      </c>
      <c r="F53" s="5">
        <v>120.0</v>
      </c>
      <c r="G53" s="5">
        <v>148.0</v>
      </c>
      <c r="H53" s="5">
        <v>2.0</v>
      </c>
      <c r="I53" s="5">
        <v>1.0</v>
      </c>
      <c r="J53" s="5">
        <f t="shared" si="1"/>
        <v>1.2</v>
      </c>
      <c r="L53" s="27">
        <v>43091.0</v>
      </c>
      <c r="M53" s="9">
        <v>0.5805555555555556</v>
      </c>
      <c r="N53" s="9">
        <v>0.5847222222222223</v>
      </c>
      <c r="O53" s="8" t="s">
        <v>25</v>
      </c>
      <c r="Q53" s="8"/>
      <c r="R53" s="9">
        <f t="shared" si="3"/>
        <v>0.004166666667</v>
      </c>
      <c r="Z53" s="27"/>
      <c r="AA53" s="9"/>
      <c r="AB53" s="9"/>
      <c r="AC53" s="8"/>
    </row>
    <row r="54" ht="15.75" customHeight="1">
      <c r="B54" s="42"/>
      <c r="C54" s="22"/>
      <c r="D54" s="22">
        <v>12.0</v>
      </c>
      <c r="E54" s="22"/>
      <c r="F54" s="22"/>
      <c r="G54" s="22"/>
      <c r="H54" s="22"/>
      <c r="I54" s="22"/>
      <c r="J54" s="5">
        <f t="shared" si="1"/>
        <v>0</v>
      </c>
      <c r="K54" s="22"/>
      <c r="L54" s="29">
        <v>43091.0</v>
      </c>
      <c r="M54" s="24">
        <v>0.5868055555555556</v>
      </c>
      <c r="N54" s="24">
        <v>0.5916666666666667</v>
      </c>
      <c r="O54" s="25" t="s">
        <v>25</v>
      </c>
      <c r="P54" s="22"/>
      <c r="Q54" s="8"/>
      <c r="R54" s="9">
        <f t="shared" si="3"/>
        <v>0.004861111111</v>
      </c>
      <c r="Z54" s="27"/>
      <c r="AA54" s="9"/>
      <c r="AB54" s="9"/>
      <c r="AC54" s="8"/>
    </row>
    <row r="55" ht="15.75" customHeight="1">
      <c r="B55" s="39"/>
      <c r="D55" s="11">
        <v>1.0</v>
      </c>
      <c r="J55" s="5">
        <f t="shared" si="1"/>
        <v>0</v>
      </c>
      <c r="L55" s="34">
        <v>43114.0</v>
      </c>
      <c r="M55" s="9">
        <v>0.45069444444444445</v>
      </c>
      <c r="N55" s="9">
        <v>0.45694444444444443</v>
      </c>
      <c r="O55" s="8" t="s">
        <v>70</v>
      </c>
      <c r="Q55" s="8"/>
      <c r="R55" s="9">
        <f t="shared" si="3"/>
        <v>0.00625</v>
      </c>
      <c r="Z55" s="27"/>
      <c r="AA55" s="9"/>
      <c r="AB55" s="9"/>
      <c r="AC55" s="8"/>
    </row>
    <row r="56" ht="15.75" customHeight="1">
      <c r="B56" s="39"/>
      <c r="D56" s="13">
        <v>2.0</v>
      </c>
      <c r="J56" s="5">
        <f t="shared" si="1"/>
        <v>0</v>
      </c>
      <c r="L56" s="34">
        <v>43114.0</v>
      </c>
      <c r="M56" s="9">
        <v>0.4583333333333333</v>
      </c>
      <c r="N56" s="9">
        <v>0.46319444444444446</v>
      </c>
      <c r="O56" s="8" t="s">
        <v>70</v>
      </c>
      <c r="Q56" s="8"/>
      <c r="R56" s="9">
        <f t="shared" si="3"/>
        <v>0.004861111111</v>
      </c>
      <c r="Z56" s="27"/>
      <c r="AA56" s="9"/>
      <c r="AB56" s="9"/>
      <c r="AC56" s="8"/>
    </row>
    <row r="57" ht="15.75" customHeight="1">
      <c r="B57" s="39" t="s">
        <v>48</v>
      </c>
      <c r="C57" s="5">
        <v>1.0</v>
      </c>
      <c r="D57" s="13">
        <v>3.0</v>
      </c>
      <c r="E57" s="5">
        <v>1.0</v>
      </c>
      <c r="F57" s="5">
        <v>310.0</v>
      </c>
      <c r="G57" s="5">
        <v>425.0</v>
      </c>
      <c r="H57" s="5">
        <v>1.0</v>
      </c>
      <c r="I57" s="5">
        <v>1.0</v>
      </c>
      <c r="J57" s="5">
        <f t="shared" si="1"/>
        <v>3.1</v>
      </c>
      <c r="L57" s="34">
        <v>43114.0</v>
      </c>
      <c r="M57" s="9">
        <v>0.46597222222222223</v>
      </c>
      <c r="N57" s="9">
        <v>0.47222222222222227</v>
      </c>
      <c r="O57" s="8" t="s">
        <v>67</v>
      </c>
      <c r="Q57" s="8"/>
      <c r="R57" s="9">
        <f t="shared" si="3"/>
        <v>0.00625</v>
      </c>
      <c r="Z57" s="27"/>
      <c r="AA57" s="9"/>
      <c r="AB57" s="9"/>
      <c r="AC57" s="8"/>
    </row>
    <row r="58" ht="15.75" customHeight="1">
      <c r="B58" s="39" t="s">
        <v>48</v>
      </c>
      <c r="C58" s="5">
        <v>1.0</v>
      </c>
      <c r="D58" s="13">
        <v>4.0</v>
      </c>
      <c r="E58" s="5">
        <v>1.0</v>
      </c>
      <c r="F58" s="5">
        <v>236.0</v>
      </c>
      <c r="G58" s="5">
        <v>180.0</v>
      </c>
      <c r="H58" s="5">
        <v>1.0</v>
      </c>
      <c r="I58" s="5">
        <v>1.0</v>
      </c>
      <c r="J58" s="5">
        <f t="shared" si="1"/>
        <v>2.36</v>
      </c>
      <c r="K58" s="5" t="s">
        <v>57</v>
      </c>
      <c r="L58" s="34">
        <v>43114.0</v>
      </c>
      <c r="M58" s="9">
        <v>0.47361111111111115</v>
      </c>
      <c r="N58" s="9">
        <v>0.4798611111111111</v>
      </c>
      <c r="O58" s="8" t="s">
        <v>25</v>
      </c>
      <c r="Q58" s="8"/>
      <c r="R58" s="9">
        <f t="shared" si="3"/>
        <v>0.00625</v>
      </c>
      <c r="Z58" s="27"/>
      <c r="AA58" s="9"/>
      <c r="AB58" s="9"/>
      <c r="AC58" s="8"/>
    </row>
    <row r="59" ht="15.75" customHeight="1">
      <c r="B59" s="39"/>
      <c r="D59" s="11">
        <v>6.0</v>
      </c>
      <c r="J59" s="5">
        <f t="shared" si="1"/>
        <v>0</v>
      </c>
      <c r="L59" s="34">
        <v>43114.0</v>
      </c>
      <c r="M59" s="9">
        <v>0.4895833333333333</v>
      </c>
      <c r="N59" s="9">
        <v>0.49583333333333335</v>
      </c>
      <c r="O59" s="8" t="s">
        <v>25</v>
      </c>
      <c r="P59" s="5" t="s">
        <v>63</v>
      </c>
      <c r="Q59" s="8"/>
      <c r="R59" s="9">
        <f t="shared" si="3"/>
        <v>0.00625</v>
      </c>
      <c r="Z59" s="27"/>
      <c r="AA59" s="9"/>
      <c r="AB59" s="9"/>
      <c r="AC59" s="8"/>
    </row>
    <row r="60" ht="15.75" customHeight="1">
      <c r="B60" s="39"/>
      <c r="D60" s="11">
        <v>5.0</v>
      </c>
      <c r="J60" s="5">
        <f t="shared" si="1"/>
        <v>0</v>
      </c>
      <c r="L60" s="34">
        <v>43114.0</v>
      </c>
      <c r="M60" s="9">
        <v>0.4986111111111111</v>
      </c>
      <c r="N60" s="9">
        <v>0.5013888888888889</v>
      </c>
      <c r="O60" s="8" t="s">
        <v>25</v>
      </c>
      <c r="P60" s="5" t="s">
        <v>63</v>
      </c>
      <c r="Q60" s="8"/>
      <c r="R60" s="9">
        <f t="shared" si="3"/>
        <v>0.002777777778</v>
      </c>
      <c r="Z60" s="27"/>
      <c r="AA60" s="7"/>
      <c r="AB60" s="7"/>
      <c r="AC60" s="8"/>
    </row>
    <row r="61" ht="15.75" customHeight="1">
      <c r="B61" s="39"/>
      <c r="D61" s="13">
        <v>7.0</v>
      </c>
      <c r="J61" s="5">
        <f t="shared" si="1"/>
        <v>0</v>
      </c>
      <c r="L61" s="27">
        <v>43114.0</v>
      </c>
      <c r="M61" s="7">
        <v>0.5027777777777778</v>
      </c>
      <c r="N61" s="7">
        <v>0.5055555555555555</v>
      </c>
      <c r="O61" s="8" t="s">
        <v>25</v>
      </c>
      <c r="Q61" s="8"/>
      <c r="R61" s="9">
        <f t="shared" si="3"/>
        <v>0.002777777778</v>
      </c>
      <c r="Z61" s="27"/>
      <c r="AA61" s="7"/>
      <c r="AB61" s="7"/>
      <c r="AC61" s="8"/>
    </row>
    <row r="62" ht="15.75" customHeight="1">
      <c r="B62" s="39"/>
      <c r="D62" s="13">
        <v>8.0</v>
      </c>
      <c r="J62" s="5">
        <f t="shared" si="1"/>
        <v>0</v>
      </c>
      <c r="L62" s="27">
        <v>43114.0</v>
      </c>
      <c r="M62" s="7">
        <v>0.5111111111111112</v>
      </c>
      <c r="N62" s="7">
        <v>0.5145833333333333</v>
      </c>
      <c r="O62" s="8" t="s">
        <v>25</v>
      </c>
      <c r="Q62" s="8"/>
      <c r="R62" s="9">
        <f t="shared" si="3"/>
        <v>0.003472222222</v>
      </c>
      <c r="Z62" s="27"/>
      <c r="AA62" s="9"/>
      <c r="AB62" s="9"/>
      <c r="AC62" s="8"/>
    </row>
    <row r="63" ht="15.75" customHeight="1">
      <c r="B63" s="39"/>
      <c r="D63" s="13">
        <v>9.0</v>
      </c>
      <c r="J63" s="5">
        <f t="shared" si="1"/>
        <v>0</v>
      </c>
      <c r="L63" s="27">
        <v>43114.0</v>
      </c>
      <c r="M63" s="9">
        <v>0.5166666666666667</v>
      </c>
      <c r="N63" s="9">
        <v>0.5243055555555556</v>
      </c>
      <c r="O63" s="8" t="s">
        <v>25</v>
      </c>
      <c r="Q63" s="8"/>
      <c r="R63" s="9">
        <f t="shared" si="3"/>
        <v>0.007638888889</v>
      </c>
      <c r="Z63" s="27"/>
      <c r="AA63" s="7"/>
      <c r="AB63" s="7"/>
      <c r="AC63" s="8"/>
    </row>
    <row r="64" ht="15.75" customHeight="1">
      <c r="B64" s="39" t="s">
        <v>48</v>
      </c>
      <c r="C64" s="5">
        <v>1.0</v>
      </c>
      <c r="D64" s="11">
        <v>11.0</v>
      </c>
      <c r="E64" s="5">
        <v>1.0</v>
      </c>
      <c r="F64" s="5">
        <v>114.0</v>
      </c>
      <c r="G64" s="5">
        <v>168.0</v>
      </c>
      <c r="H64" s="5">
        <v>2.0</v>
      </c>
      <c r="I64" s="5">
        <v>1.0</v>
      </c>
      <c r="J64" s="5">
        <f t="shared" si="1"/>
        <v>1.14</v>
      </c>
      <c r="L64" s="27">
        <v>43114.0</v>
      </c>
      <c r="M64" s="9">
        <v>0.5291666666666667</v>
      </c>
      <c r="N64" s="9">
        <v>0.5319444444444444</v>
      </c>
      <c r="O64" s="8" t="s">
        <v>25</v>
      </c>
      <c r="Q64" s="8"/>
      <c r="R64" s="9">
        <f t="shared" si="3"/>
        <v>0.002777777778</v>
      </c>
      <c r="Z64" s="27"/>
      <c r="AA64" s="7"/>
      <c r="AB64" s="7"/>
      <c r="AC64" s="8"/>
    </row>
    <row r="65" ht="15.75" customHeight="1">
      <c r="B65" s="39" t="s">
        <v>48</v>
      </c>
      <c r="C65" s="5">
        <v>1.0</v>
      </c>
      <c r="D65" s="11">
        <v>11.0</v>
      </c>
      <c r="E65" s="5">
        <v>2.0</v>
      </c>
      <c r="F65" s="5">
        <v>157.0</v>
      </c>
      <c r="G65" s="5">
        <v>300.0</v>
      </c>
      <c r="H65" s="5">
        <v>2.0</v>
      </c>
      <c r="J65" s="5">
        <f t="shared" si="1"/>
        <v>1.57</v>
      </c>
      <c r="L65" s="27">
        <v>43114.0</v>
      </c>
      <c r="M65" s="9">
        <v>0.0</v>
      </c>
      <c r="N65" s="9">
        <v>0.0</v>
      </c>
      <c r="O65" s="8" t="s">
        <v>25</v>
      </c>
      <c r="Q65" s="8"/>
      <c r="R65" s="9">
        <f t="shared" si="3"/>
        <v>0</v>
      </c>
      <c r="Z65" s="27"/>
      <c r="AA65" s="7"/>
      <c r="AB65" s="7"/>
      <c r="AC65" s="8"/>
    </row>
    <row r="66" ht="15.75" customHeight="1">
      <c r="B66" s="39" t="s">
        <v>48</v>
      </c>
      <c r="C66" s="5">
        <v>1.0</v>
      </c>
      <c r="D66" s="11">
        <v>11.0</v>
      </c>
      <c r="E66" s="5">
        <v>1.0</v>
      </c>
      <c r="F66" s="5">
        <v>708.0</v>
      </c>
      <c r="G66" s="5">
        <v>256.0</v>
      </c>
      <c r="H66" s="5">
        <v>2.0</v>
      </c>
      <c r="J66" s="5">
        <f t="shared" si="1"/>
        <v>7.08</v>
      </c>
      <c r="L66" s="27">
        <v>43114.0</v>
      </c>
      <c r="M66" s="9">
        <v>0.0</v>
      </c>
      <c r="N66" s="9">
        <v>0.0</v>
      </c>
      <c r="O66" s="8" t="s">
        <v>25</v>
      </c>
      <c r="Q66" s="8"/>
      <c r="Z66" s="27"/>
      <c r="AA66" s="7"/>
      <c r="AB66" s="7"/>
      <c r="AC66" s="8"/>
    </row>
    <row r="67" ht="15.75" customHeight="1">
      <c r="B67" s="39" t="s">
        <v>48</v>
      </c>
      <c r="C67" s="5">
        <v>1.0</v>
      </c>
      <c r="D67" s="11">
        <v>11.0</v>
      </c>
      <c r="E67" s="5">
        <v>1.0</v>
      </c>
      <c r="F67" s="5">
        <v>708.0</v>
      </c>
      <c r="G67" s="5">
        <v>256.0</v>
      </c>
      <c r="H67" s="5">
        <v>2.0</v>
      </c>
      <c r="J67" s="5">
        <f t="shared" si="1"/>
        <v>7.08</v>
      </c>
      <c r="L67" s="27">
        <v>43114.0</v>
      </c>
      <c r="M67" s="9">
        <v>0.0</v>
      </c>
      <c r="N67" s="9">
        <v>0.0</v>
      </c>
      <c r="O67" s="8" t="s">
        <v>25</v>
      </c>
      <c r="Q67" s="8"/>
      <c r="Z67" s="27"/>
      <c r="AA67" s="7"/>
      <c r="AB67" s="7"/>
      <c r="AC67" s="8"/>
      <c r="AD67" s="8"/>
    </row>
    <row r="68" ht="15.75" customHeight="1">
      <c r="B68" s="39"/>
      <c r="D68" s="11">
        <v>10.0</v>
      </c>
      <c r="J68" s="5">
        <f t="shared" si="1"/>
        <v>0</v>
      </c>
      <c r="L68" s="27">
        <v>43114.0</v>
      </c>
      <c r="M68" s="7">
        <v>0.5347222222222222</v>
      </c>
      <c r="N68" s="7">
        <v>0.5388888888888889</v>
      </c>
      <c r="O68" s="8" t="s">
        <v>25</v>
      </c>
      <c r="Q68" s="8"/>
      <c r="R68" s="9">
        <f t="shared" ref="R68:R80" si="4">N68-M68</f>
        <v>0.004166666667</v>
      </c>
      <c r="Z68" s="27"/>
      <c r="AA68" s="7"/>
      <c r="AB68" s="7"/>
      <c r="AC68" s="8"/>
      <c r="AD68" s="8"/>
    </row>
    <row r="69" ht="15.75" customHeight="1">
      <c r="B69" s="42"/>
      <c r="C69" s="22"/>
      <c r="D69" s="22">
        <v>12.0</v>
      </c>
      <c r="E69" s="22"/>
      <c r="F69" s="22"/>
      <c r="G69" s="22"/>
      <c r="H69" s="22"/>
      <c r="I69" s="22"/>
      <c r="J69" s="5">
        <f t="shared" si="1"/>
        <v>0</v>
      </c>
      <c r="K69" s="22"/>
      <c r="L69" s="29">
        <v>43114.0</v>
      </c>
      <c r="M69" s="24">
        <v>0.5499999999999999</v>
      </c>
      <c r="N69" s="24">
        <v>0.5569444444444445</v>
      </c>
      <c r="O69" s="25" t="s">
        <v>25</v>
      </c>
      <c r="P69" s="22"/>
      <c r="Q69" s="8"/>
      <c r="R69" s="9">
        <f t="shared" si="4"/>
        <v>0.006944444444</v>
      </c>
      <c r="Z69" s="27"/>
      <c r="AA69" s="9"/>
      <c r="AB69" s="9"/>
      <c r="AC69" s="8"/>
    </row>
    <row r="70" ht="15.75" customHeight="1">
      <c r="B70" s="39"/>
      <c r="D70" s="11">
        <v>1.0</v>
      </c>
      <c r="J70" s="5">
        <f t="shared" si="1"/>
        <v>0</v>
      </c>
      <c r="L70" s="34">
        <v>43135.0</v>
      </c>
      <c r="M70" s="9">
        <v>0.46527777777777773</v>
      </c>
      <c r="N70" s="9">
        <v>0.4708333333333334</v>
      </c>
      <c r="O70" s="8" t="s">
        <v>25</v>
      </c>
      <c r="Q70" s="8"/>
      <c r="R70" s="9">
        <f t="shared" si="4"/>
        <v>0.005555555556</v>
      </c>
      <c r="Z70" s="27"/>
      <c r="AA70" s="9"/>
      <c r="AB70" s="9"/>
      <c r="AC70" s="8"/>
    </row>
    <row r="71" ht="15.75" customHeight="1">
      <c r="B71" s="39"/>
      <c r="D71" s="13">
        <v>2.0</v>
      </c>
      <c r="J71" s="5">
        <f t="shared" si="1"/>
        <v>0</v>
      </c>
      <c r="L71" s="34">
        <v>43135.0</v>
      </c>
      <c r="M71" s="9">
        <v>0.47222222222222227</v>
      </c>
      <c r="N71" s="9">
        <v>0.4777777777777778</v>
      </c>
      <c r="O71" s="8" t="s">
        <v>25</v>
      </c>
      <c r="Q71" s="8"/>
      <c r="R71" s="9">
        <f t="shared" si="4"/>
        <v>0.005555555556</v>
      </c>
      <c r="Z71" s="27"/>
      <c r="AA71" s="7"/>
      <c r="AB71" s="7"/>
      <c r="AC71" s="8"/>
    </row>
    <row r="72" ht="15.75" customHeight="1">
      <c r="B72" s="39" t="s">
        <v>48</v>
      </c>
      <c r="C72" s="5">
        <v>1.0</v>
      </c>
      <c r="D72" s="13">
        <v>3.0</v>
      </c>
      <c r="E72" s="5">
        <v>1.0</v>
      </c>
      <c r="F72" s="5">
        <v>306.0</v>
      </c>
      <c r="G72" s="5">
        <v>418.0</v>
      </c>
      <c r="H72" s="5">
        <v>1.0</v>
      </c>
      <c r="I72" s="5">
        <v>1.0</v>
      </c>
      <c r="J72" s="5">
        <f t="shared" si="1"/>
        <v>3.06</v>
      </c>
      <c r="L72" s="34">
        <v>43135.0</v>
      </c>
      <c r="M72" s="9">
        <v>0.48125</v>
      </c>
      <c r="N72" s="9">
        <v>0.4861111111111111</v>
      </c>
      <c r="O72" s="8" t="s">
        <v>25</v>
      </c>
      <c r="Q72" s="8"/>
      <c r="R72" s="9">
        <f t="shared" si="4"/>
        <v>0.004861111111</v>
      </c>
      <c r="Z72" s="27"/>
      <c r="AA72" s="7"/>
      <c r="AB72" s="7"/>
      <c r="AC72" s="8"/>
    </row>
    <row r="73" ht="15.75" customHeight="1">
      <c r="B73" s="39"/>
      <c r="D73" s="13">
        <v>4.0</v>
      </c>
      <c r="J73" s="5">
        <f t="shared" si="1"/>
        <v>0</v>
      </c>
      <c r="L73" s="34">
        <v>43135.0</v>
      </c>
      <c r="M73" s="9">
        <v>0.4875</v>
      </c>
      <c r="N73" s="9">
        <v>0.4930555555555556</v>
      </c>
      <c r="O73" s="8" t="s">
        <v>25</v>
      </c>
      <c r="Q73" s="8"/>
      <c r="R73" s="9">
        <f t="shared" si="4"/>
        <v>0.005555555556</v>
      </c>
      <c r="Z73" s="27"/>
      <c r="AA73" s="9"/>
      <c r="AB73" s="9"/>
      <c r="AC73" s="8"/>
    </row>
    <row r="74" ht="15.75" customHeight="1">
      <c r="B74" s="39" t="s">
        <v>48</v>
      </c>
      <c r="C74" s="5">
        <v>1.0</v>
      </c>
      <c r="D74" s="11">
        <v>5.0</v>
      </c>
      <c r="E74" s="5">
        <v>1.0</v>
      </c>
      <c r="F74" s="5">
        <v>1000.0</v>
      </c>
      <c r="G74" s="5">
        <v>110.0</v>
      </c>
      <c r="H74" s="5">
        <v>1.0</v>
      </c>
      <c r="I74" s="5">
        <v>1.0</v>
      </c>
      <c r="J74" s="5">
        <f t="shared" si="1"/>
        <v>10</v>
      </c>
      <c r="L74" s="34">
        <v>43135.0</v>
      </c>
      <c r="M74" s="9">
        <v>0.5013888888888889</v>
      </c>
      <c r="N74" s="9">
        <v>0.5069444444444444</v>
      </c>
      <c r="O74" s="8" t="s">
        <v>25</v>
      </c>
      <c r="P74" s="5" t="s">
        <v>63</v>
      </c>
      <c r="Q74" s="8"/>
      <c r="R74" s="9">
        <f t="shared" si="4"/>
        <v>0.005555555556</v>
      </c>
      <c r="Z74" s="27"/>
      <c r="AA74" s="9"/>
      <c r="AB74" s="9"/>
      <c r="AC74" s="8"/>
    </row>
    <row r="75" ht="15.75" customHeight="1">
      <c r="B75" s="39"/>
      <c r="D75" s="11">
        <v>6.0</v>
      </c>
      <c r="J75" s="5">
        <f t="shared" si="1"/>
        <v>0</v>
      </c>
      <c r="L75" s="34">
        <v>43135.0</v>
      </c>
      <c r="M75" s="9">
        <v>0.5097222222222222</v>
      </c>
      <c r="N75" s="9">
        <v>0.5131944444444444</v>
      </c>
      <c r="O75" s="8" t="s">
        <v>25</v>
      </c>
      <c r="P75" s="5" t="s">
        <v>63</v>
      </c>
      <c r="Q75" s="8"/>
      <c r="R75" s="9">
        <f t="shared" si="4"/>
        <v>0.003472222222</v>
      </c>
      <c r="Z75" s="27"/>
      <c r="AA75" s="7"/>
      <c r="AB75" s="7"/>
      <c r="AC75" s="8"/>
    </row>
    <row r="76" ht="15.75" customHeight="1">
      <c r="B76" s="39"/>
      <c r="D76" s="13">
        <v>7.0</v>
      </c>
      <c r="J76" s="5">
        <f t="shared" si="1"/>
        <v>0</v>
      </c>
      <c r="L76" s="34">
        <v>43135.0</v>
      </c>
      <c r="M76" s="9">
        <v>0.5159722222222222</v>
      </c>
      <c r="N76" s="9">
        <v>0.5208333333333334</v>
      </c>
      <c r="O76" s="8" t="s">
        <v>25</v>
      </c>
      <c r="Q76" s="8"/>
      <c r="R76" s="9">
        <f t="shared" si="4"/>
        <v>0.004861111111</v>
      </c>
      <c r="Z76" s="27"/>
      <c r="AA76" s="7"/>
      <c r="AB76" s="7"/>
      <c r="AC76" s="8"/>
    </row>
    <row r="77" ht="15.75" customHeight="1">
      <c r="B77" s="39"/>
      <c r="D77" s="13">
        <v>8.0</v>
      </c>
      <c r="J77" s="5">
        <f t="shared" si="1"/>
        <v>0</v>
      </c>
      <c r="L77" s="34">
        <v>43135.0</v>
      </c>
      <c r="M77" s="9">
        <v>0.5208333333333334</v>
      </c>
      <c r="N77" s="9">
        <v>0.5277777777777778</v>
      </c>
      <c r="O77" s="8" t="s">
        <v>25</v>
      </c>
      <c r="Q77" s="8"/>
      <c r="R77" s="9">
        <f t="shared" si="4"/>
        <v>0.006944444444</v>
      </c>
      <c r="Z77" s="27"/>
      <c r="AA77" s="7"/>
      <c r="AB77" s="7"/>
      <c r="AC77" s="8"/>
    </row>
    <row r="78" ht="15.75" customHeight="1">
      <c r="B78" s="39"/>
      <c r="D78" s="13">
        <v>9.0</v>
      </c>
      <c r="J78" s="5">
        <f t="shared" si="1"/>
        <v>0</v>
      </c>
      <c r="L78" s="34">
        <v>43135.0</v>
      </c>
      <c r="M78" s="9">
        <v>0.5305555555555556</v>
      </c>
      <c r="N78" s="9">
        <v>0.5368055555555555</v>
      </c>
      <c r="O78" s="8" t="s">
        <v>25</v>
      </c>
      <c r="Q78" s="8"/>
      <c r="R78" s="9">
        <f t="shared" si="4"/>
        <v>0.00625</v>
      </c>
      <c r="Z78" s="27"/>
      <c r="AA78" s="7"/>
      <c r="AB78" s="7"/>
      <c r="AC78" s="8"/>
    </row>
    <row r="79" ht="15.75" customHeight="1">
      <c r="B79" s="39" t="s">
        <v>48</v>
      </c>
      <c r="C79" s="5">
        <v>1.0</v>
      </c>
      <c r="D79" s="11">
        <v>10.0</v>
      </c>
      <c r="E79" s="5">
        <v>1.0</v>
      </c>
      <c r="F79" s="5">
        <v>350.0</v>
      </c>
      <c r="G79" s="5">
        <v>150.0</v>
      </c>
      <c r="H79" s="5">
        <v>2.0</v>
      </c>
      <c r="I79" s="5">
        <v>1.0</v>
      </c>
      <c r="J79" s="5">
        <f t="shared" si="1"/>
        <v>3.5</v>
      </c>
      <c r="L79" s="34">
        <v>43135.0</v>
      </c>
      <c r="M79" s="9">
        <v>0.5388888888888889</v>
      </c>
      <c r="N79" s="9">
        <v>0.5416666666666666</v>
      </c>
      <c r="O79" s="8" t="s">
        <v>25</v>
      </c>
      <c r="Q79" s="8"/>
      <c r="R79" s="9">
        <f t="shared" si="4"/>
        <v>0.002777777778</v>
      </c>
      <c r="Z79" s="27"/>
      <c r="AA79" s="7"/>
      <c r="AB79" s="7"/>
      <c r="AC79" s="8"/>
      <c r="AD79" s="8"/>
    </row>
    <row r="80" ht="15.75" customHeight="1">
      <c r="B80" s="39" t="s">
        <v>48</v>
      </c>
      <c r="C80" s="5">
        <v>1.0</v>
      </c>
      <c r="D80" s="11">
        <v>10.0</v>
      </c>
      <c r="E80" s="5">
        <v>1.0</v>
      </c>
      <c r="F80" s="5">
        <v>764.0</v>
      </c>
      <c r="G80" s="5">
        <v>233.0</v>
      </c>
      <c r="H80" s="5">
        <v>2.0</v>
      </c>
      <c r="I80" s="5">
        <v>1.0</v>
      </c>
      <c r="J80" s="5">
        <f t="shared" si="1"/>
        <v>7.64</v>
      </c>
      <c r="K80" s="5" t="s">
        <v>57</v>
      </c>
      <c r="L80" s="34">
        <v>43135.0</v>
      </c>
      <c r="M80" s="9">
        <v>0.0</v>
      </c>
      <c r="N80" s="9">
        <v>0.0</v>
      </c>
      <c r="O80" s="8" t="s">
        <v>25</v>
      </c>
      <c r="Q80" s="8"/>
      <c r="R80" s="9">
        <f t="shared" si="4"/>
        <v>0</v>
      </c>
      <c r="Z80" s="27"/>
      <c r="AA80" s="7"/>
      <c r="AB80" s="7"/>
      <c r="AC80" s="8"/>
      <c r="AD80" s="8"/>
    </row>
    <row r="81" ht="15.75" customHeight="1">
      <c r="B81" s="39" t="s">
        <v>48</v>
      </c>
      <c r="C81" s="5">
        <v>1.0</v>
      </c>
      <c r="D81" s="11">
        <v>10.0</v>
      </c>
      <c r="E81" s="5">
        <v>3.0</v>
      </c>
      <c r="F81" s="5">
        <v>240.0</v>
      </c>
      <c r="G81" s="5">
        <v>270.0</v>
      </c>
      <c r="H81" s="5">
        <v>2.0</v>
      </c>
      <c r="I81" s="5">
        <v>1.0</v>
      </c>
      <c r="J81" s="5">
        <f t="shared" si="1"/>
        <v>2.4</v>
      </c>
      <c r="L81" s="34">
        <v>43135.0</v>
      </c>
      <c r="M81" s="9">
        <v>0.0</v>
      </c>
      <c r="N81" s="9">
        <v>0.0</v>
      </c>
      <c r="O81" s="8" t="s">
        <v>25</v>
      </c>
      <c r="Q81" s="8"/>
      <c r="Z81" s="27"/>
      <c r="AA81" s="7"/>
      <c r="AB81" s="7"/>
      <c r="AC81" s="8"/>
      <c r="AD81" s="8"/>
    </row>
    <row r="82" ht="15.75" customHeight="1">
      <c r="B82" s="39" t="s">
        <v>48</v>
      </c>
      <c r="C82" s="5">
        <v>1.0</v>
      </c>
      <c r="D82" s="11">
        <v>11.0</v>
      </c>
      <c r="E82" s="5">
        <v>1.0</v>
      </c>
      <c r="F82" s="5">
        <v>594.0</v>
      </c>
      <c r="G82" s="5">
        <v>0.0</v>
      </c>
      <c r="H82" s="5">
        <v>2.0</v>
      </c>
      <c r="I82" s="5">
        <v>1.0</v>
      </c>
      <c r="J82" s="5">
        <f t="shared" si="1"/>
        <v>5.94</v>
      </c>
      <c r="L82" s="34">
        <v>43135.0</v>
      </c>
      <c r="M82" s="9">
        <v>0.5437500000000001</v>
      </c>
      <c r="N82" s="9">
        <v>0.5472222222222222</v>
      </c>
      <c r="O82" s="8" t="s">
        <v>25</v>
      </c>
      <c r="Q82" s="8"/>
      <c r="R82" s="9">
        <f t="shared" ref="R82:R99" si="5">N82-M82</f>
        <v>0.003472222222</v>
      </c>
      <c r="Z82" s="27"/>
      <c r="AA82" s="7"/>
      <c r="AB82" s="7"/>
      <c r="AC82" s="8"/>
      <c r="AD82" s="8"/>
    </row>
    <row r="83" ht="15.75" customHeight="1">
      <c r="B83" s="42"/>
      <c r="C83" s="22"/>
      <c r="D83" s="22">
        <v>12.0</v>
      </c>
      <c r="E83" s="22"/>
      <c r="F83" s="22"/>
      <c r="G83" s="22"/>
      <c r="H83" s="22"/>
      <c r="I83" s="22"/>
      <c r="J83" s="5">
        <f t="shared" si="1"/>
        <v>0</v>
      </c>
      <c r="K83" s="22"/>
      <c r="L83" s="37">
        <v>43135.0</v>
      </c>
      <c r="M83" s="33">
        <v>0.5576388888888889</v>
      </c>
      <c r="N83" s="33">
        <v>0.5625</v>
      </c>
      <c r="O83" s="25" t="s">
        <v>25</v>
      </c>
      <c r="P83" s="22"/>
      <c r="Q83" s="8"/>
      <c r="R83" s="9">
        <f t="shared" si="5"/>
        <v>0.004861111111</v>
      </c>
      <c r="Z83" s="27"/>
      <c r="AA83" s="7"/>
      <c r="AB83" s="7"/>
      <c r="AC83" s="8"/>
    </row>
    <row r="84" ht="15.75" customHeight="1">
      <c r="B84" s="39"/>
      <c r="D84" s="5">
        <v>1.0</v>
      </c>
      <c r="J84" s="5">
        <f t="shared" si="1"/>
        <v>0</v>
      </c>
      <c r="L84" s="34">
        <v>43163.0</v>
      </c>
      <c r="M84" s="9">
        <v>0.4472222222222222</v>
      </c>
      <c r="N84" s="9">
        <v>0.4513888888888889</v>
      </c>
      <c r="O84" s="8" t="s">
        <v>25</v>
      </c>
      <c r="Q84" s="8"/>
      <c r="R84" s="9">
        <f t="shared" si="5"/>
        <v>0.004166666667</v>
      </c>
      <c r="Z84" s="27"/>
      <c r="AA84" s="7"/>
      <c r="AB84" s="7"/>
      <c r="AC84" s="8"/>
    </row>
    <row r="85" ht="15.75" customHeight="1">
      <c r="B85" s="39"/>
      <c r="D85" s="13">
        <v>2.0</v>
      </c>
      <c r="J85" s="5">
        <f t="shared" si="1"/>
        <v>0</v>
      </c>
      <c r="L85" s="34">
        <v>43163.0</v>
      </c>
      <c r="M85" s="9">
        <v>0.4513888888888889</v>
      </c>
      <c r="N85" s="9">
        <v>0.4576388888888889</v>
      </c>
      <c r="O85" s="8" t="s">
        <v>25</v>
      </c>
      <c r="Q85" s="8"/>
      <c r="R85" s="9">
        <f t="shared" si="5"/>
        <v>0.00625</v>
      </c>
      <c r="Z85" s="27"/>
      <c r="AA85" s="7"/>
      <c r="AB85" s="7"/>
      <c r="AC85" s="8"/>
    </row>
    <row r="86" ht="15.75" customHeight="1">
      <c r="B86" s="39" t="s">
        <v>48</v>
      </c>
      <c r="C86" s="5">
        <v>1.0</v>
      </c>
      <c r="D86" s="13">
        <v>3.0</v>
      </c>
      <c r="E86" s="5">
        <v>1.0</v>
      </c>
      <c r="F86" s="5">
        <v>310.0</v>
      </c>
      <c r="G86" s="5">
        <v>90.0</v>
      </c>
      <c r="H86" s="5">
        <v>1.0</v>
      </c>
      <c r="I86" s="5">
        <v>1.0</v>
      </c>
      <c r="J86" s="5">
        <f t="shared" si="1"/>
        <v>3.1</v>
      </c>
      <c r="L86" s="34">
        <v>43163.0</v>
      </c>
      <c r="M86" s="9">
        <v>0.4604166666666667</v>
      </c>
      <c r="N86" s="9">
        <v>0.46527777777777773</v>
      </c>
      <c r="O86" s="8" t="s">
        <v>25</v>
      </c>
      <c r="Q86" s="8"/>
      <c r="R86" s="9">
        <f t="shared" si="5"/>
        <v>0.004861111111</v>
      </c>
      <c r="Z86" s="27"/>
      <c r="AA86" s="7"/>
      <c r="AB86" s="7"/>
      <c r="AC86" s="8"/>
    </row>
    <row r="87" ht="15.75" customHeight="1">
      <c r="B87" s="39"/>
      <c r="D87" s="13">
        <v>4.0</v>
      </c>
      <c r="J87" s="5">
        <f t="shared" si="1"/>
        <v>0</v>
      </c>
      <c r="L87" s="34">
        <v>43163.0</v>
      </c>
      <c r="M87" s="9">
        <v>0.4673611111111111</v>
      </c>
      <c r="N87" s="9">
        <v>0.47222222222222227</v>
      </c>
      <c r="O87" s="8" t="s">
        <v>25</v>
      </c>
      <c r="Q87" s="8"/>
      <c r="R87" s="9">
        <f t="shared" si="5"/>
        <v>0.004861111111</v>
      </c>
      <c r="Z87" s="27"/>
      <c r="AA87" s="7"/>
      <c r="AB87" s="7"/>
      <c r="AC87" s="8"/>
    </row>
    <row r="88" ht="15.75" customHeight="1">
      <c r="B88" s="39" t="s">
        <v>48</v>
      </c>
      <c r="C88" s="5">
        <v>1.0</v>
      </c>
      <c r="D88" s="5">
        <v>5.0</v>
      </c>
      <c r="E88" s="5">
        <v>1.0</v>
      </c>
      <c r="F88" s="5">
        <v>168.0</v>
      </c>
      <c r="G88" s="5">
        <v>220.0</v>
      </c>
      <c r="H88" s="5">
        <v>1.0</v>
      </c>
      <c r="I88" s="5">
        <v>1.0</v>
      </c>
      <c r="J88" s="5">
        <f t="shared" si="1"/>
        <v>1.68</v>
      </c>
      <c r="L88" s="34">
        <v>43163.0</v>
      </c>
      <c r="M88" s="9">
        <v>0.48125</v>
      </c>
      <c r="N88" s="9">
        <v>0.4861111111111111</v>
      </c>
      <c r="O88" s="8" t="s">
        <v>25</v>
      </c>
      <c r="Q88" s="8"/>
      <c r="R88" s="9">
        <f t="shared" si="5"/>
        <v>0.004861111111</v>
      </c>
      <c r="Z88" s="27"/>
      <c r="AA88" s="7"/>
      <c r="AB88" s="7"/>
      <c r="AC88" s="8"/>
    </row>
    <row r="89" ht="15.75" customHeight="1">
      <c r="B89" s="39" t="s">
        <v>48</v>
      </c>
      <c r="C89" s="5">
        <v>1.0</v>
      </c>
      <c r="D89" s="5">
        <v>5.0</v>
      </c>
      <c r="E89" s="5">
        <v>1.0</v>
      </c>
      <c r="F89" s="5">
        <v>168.0</v>
      </c>
      <c r="G89" s="5">
        <v>220.0</v>
      </c>
      <c r="H89" s="5">
        <v>1.0</v>
      </c>
      <c r="I89" s="5">
        <v>1.0</v>
      </c>
      <c r="J89" s="5">
        <f t="shared" si="1"/>
        <v>1.68</v>
      </c>
      <c r="L89" s="34">
        <v>43163.0</v>
      </c>
      <c r="M89" s="9">
        <v>0.0</v>
      </c>
      <c r="N89" s="9">
        <v>0.0</v>
      </c>
      <c r="O89" s="8" t="s">
        <v>25</v>
      </c>
      <c r="Q89" s="8"/>
      <c r="R89" s="9">
        <f t="shared" si="5"/>
        <v>0</v>
      </c>
      <c r="Z89" s="27"/>
      <c r="AA89" s="7"/>
      <c r="AB89" s="7"/>
      <c r="AC89" s="8"/>
    </row>
    <row r="90" ht="15.75" customHeight="1">
      <c r="B90" s="39"/>
      <c r="D90" s="5">
        <v>6.0</v>
      </c>
      <c r="J90" s="5">
        <f t="shared" si="1"/>
        <v>0</v>
      </c>
      <c r="L90" s="34">
        <v>43163.0</v>
      </c>
      <c r="M90" s="9">
        <v>0.4875</v>
      </c>
      <c r="N90" s="9">
        <v>0.4902777777777778</v>
      </c>
      <c r="O90" s="8" t="s">
        <v>25</v>
      </c>
      <c r="Q90" s="8"/>
      <c r="R90" s="9">
        <f t="shared" si="5"/>
        <v>0.002777777778</v>
      </c>
      <c r="Z90" s="27"/>
      <c r="AA90" s="7"/>
      <c r="AB90" s="7"/>
      <c r="AC90" s="8"/>
    </row>
    <row r="91" ht="15.75" customHeight="1">
      <c r="B91" s="39"/>
      <c r="D91" s="13">
        <v>7.0</v>
      </c>
      <c r="J91" s="5">
        <f t="shared" si="1"/>
        <v>0</v>
      </c>
      <c r="L91" s="34">
        <v>43163.0</v>
      </c>
      <c r="M91" s="9">
        <v>0.4923611111111111</v>
      </c>
      <c r="N91" s="9">
        <v>0.49583333333333335</v>
      </c>
      <c r="O91" s="8" t="s">
        <v>25</v>
      </c>
      <c r="Q91" s="8"/>
      <c r="R91" s="9">
        <f t="shared" si="5"/>
        <v>0.003472222222</v>
      </c>
      <c r="Z91" s="27"/>
      <c r="AA91" s="7"/>
      <c r="AB91" s="7"/>
      <c r="AC91" s="8"/>
    </row>
    <row r="92" ht="15.75" customHeight="1">
      <c r="B92" s="39"/>
      <c r="D92" s="13">
        <v>8.0</v>
      </c>
      <c r="J92" s="5">
        <f t="shared" si="1"/>
        <v>0</v>
      </c>
      <c r="L92" s="34">
        <v>43163.0</v>
      </c>
      <c r="M92" s="9">
        <v>0.5</v>
      </c>
      <c r="N92" s="9">
        <v>0.5041666666666667</v>
      </c>
      <c r="O92" s="8" t="s">
        <v>25</v>
      </c>
      <c r="Q92" s="8"/>
      <c r="R92" s="9">
        <f t="shared" si="5"/>
        <v>0.004166666667</v>
      </c>
      <c r="Z92" s="27"/>
      <c r="AA92" s="7"/>
      <c r="AB92" s="7"/>
      <c r="AC92" s="8"/>
    </row>
    <row r="93" ht="15.75" customHeight="1">
      <c r="B93" s="39" t="s">
        <v>48</v>
      </c>
      <c r="C93" s="5">
        <v>1.0</v>
      </c>
      <c r="D93" s="13">
        <v>9.0</v>
      </c>
      <c r="E93" s="5">
        <v>1.0</v>
      </c>
      <c r="F93" s="5">
        <v>447.0</v>
      </c>
      <c r="G93" s="5">
        <v>160.0</v>
      </c>
      <c r="H93" s="5">
        <v>7.0</v>
      </c>
      <c r="I93" s="5">
        <v>1.0</v>
      </c>
      <c r="J93" s="5">
        <f t="shared" si="1"/>
        <v>4.47</v>
      </c>
      <c r="L93" s="34">
        <v>43163.0</v>
      </c>
      <c r="M93" s="9">
        <v>0.5069444444444444</v>
      </c>
      <c r="N93" s="9">
        <v>0.5152777777777778</v>
      </c>
      <c r="O93" s="8" t="s">
        <v>25</v>
      </c>
      <c r="Q93" s="8"/>
      <c r="R93" s="9">
        <f t="shared" si="5"/>
        <v>0.008333333333</v>
      </c>
      <c r="Z93" s="27"/>
      <c r="AA93" s="7"/>
      <c r="AB93" s="7"/>
      <c r="AC93" s="8"/>
    </row>
    <row r="94" ht="15.75" customHeight="1">
      <c r="B94" s="39" t="s">
        <v>48</v>
      </c>
      <c r="C94" s="5">
        <v>1.0</v>
      </c>
      <c r="D94" s="13">
        <v>9.0</v>
      </c>
      <c r="E94" s="5">
        <v>1.0</v>
      </c>
      <c r="F94" s="5">
        <v>612.0</v>
      </c>
      <c r="G94" s="5">
        <v>180.0</v>
      </c>
      <c r="H94" s="5">
        <v>5.0</v>
      </c>
      <c r="I94" s="5">
        <v>1.0</v>
      </c>
      <c r="J94" s="5">
        <f t="shared" si="1"/>
        <v>6.12</v>
      </c>
      <c r="L94" s="34">
        <v>43163.0</v>
      </c>
      <c r="M94" s="9">
        <v>0.0</v>
      </c>
      <c r="N94" s="9">
        <v>0.0</v>
      </c>
      <c r="O94" s="8" t="s">
        <v>25</v>
      </c>
      <c r="Q94" s="8"/>
      <c r="R94" s="9">
        <f t="shared" si="5"/>
        <v>0</v>
      </c>
      <c r="Z94" s="27"/>
      <c r="AA94" s="7"/>
      <c r="AB94" s="7"/>
      <c r="AC94" s="8"/>
    </row>
    <row r="95" ht="15.75" customHeight="1">
      <c r="B95" s="39" t="s">
        <v>48</v>
      </c>
      <c r="C95" s="5">
        <v>1.0</v>
      </c>
      <c r="D95" s="5">
        <v>11.0</v>
      </c>
      <c r="E95" s="5">
        <v>1.0</v>
      </c>
      <c r="F95" s="5">
        <v>672.0</v>
      </c>
      <c r="G95" s="5">
        <v>180.0</v>
      </c>
      <c r="H95" s="5">
        <v>2.0</v>
      </c>
      <c r="I95" s="5">
        <v>1.0</v>
      </c>
      <c r="J95" s="5">
        <f t="shared" si="1"/>
        <v>6.72</v>
      </c>
      <c r="L95" s="34">
        <v>43163.0</v>
      </c>
      <c r="M95" s="9">
        <v>0.5194444444444445</v>
      </c>
      <c r="N95" s="9">
        <v>0.5215277777777778</v>
      </c>
      <c r="O95" s="8" t="s">
        <v>25</v>
      </c>
      <c r="Q95" s="8"/>
      <c r="R95" s="9">
        <f t="shared" si="5"/>
        <v>0.002083333333</v>
      </c>
      <c r="Z95" s="27"/>
      <c r="AA95" s="7"/>
      <c r="AB95" s="7"/>
      <c r="AC95" s="8"/>
    </row>
    <row r="96" ht="15.75" customHeight="1">
      <c r="B96" s="39" t="s">
        <v>48</v>
      </c>
      <c r="C96" s="5">
        <v>1.0</v>
      </c>
      <c r="D96" s="5">
        <v>10.0</v>
      </c>
      <c r="E96" s="5">
        <v>1.0</v>
      </c>
      <c r="F96" s="5">
        <v>130.0</v>
      </c>
      <c r="G96" s="5">
        <v>130.0</v>
      </c>
      <c r="H96" s="5">
        <v>1.0</v>
      </c>
      <c r="I96" s="5">
        <v>1.0</v>
      </c>
      <c r="J96" s="5">
        <f t="shared" si="1"/>
        <v>1.3</v>
      </c>
      <c r="L96" s="34">
        <v>43163.0</v>
      </c>
      <c r="M96" s="9">
        <v>0.5236111111111111</v>
      </c>
      <c r="N96" s="9">
        <v>0.5270833333333333</v>
      </c>
      <c r="O96" s="8" t="s">
        <v>25</v>
      </c>
      <c r="Q96" s="8"/>
      <c r="R96" s="9">
        <f t="shared" si="5"/>
        <v>0.003472222222</v>
      </c>
      <c r="Z96" s="27"/>
      <c r="AA96" s="7"/>
      <c r="AB96" s="7"/>
      <c r="AC96" s="8"/>
    </row>
    <row r="97" ht="15.75" customHeight="1">
      <c r="B97" s="42"/>
      <c r="C97" s="22"/>
      <c r="D97" s="22">
        <v>12.0</v>
      </c>
      <c r="E97" s="22"/>
      <c r="F97" s="22"/>
      <c r="G97" s="22"/>
      <c r="H97" s="22"/>
      <c r="I97" s="22"/>
      <c r="J97" s="5">
        <f t="shared" si="1"/>
        <v>0</v>
      </c>
      <c r="K97" s="22"/>
      <c r="L97" s="37">
        <v>43163.0</v>
      </c>
      <c r="M97" s="33">
        <v>0.5347222222222222</v>
      </c>
      <c r="N97" s="33">
        <v>0.5388888888888889</v>
      </c>
      <c r="O97" s="25" t="s">
        <v>25</v>
      </c>
      <c r="P97" s="22"/>
      <c r="Q97" s="8"/>
      <c r="R97" s="9">
        <f t="shared" si="5"/>
        <v>0.004166666667</v>
      </c>
      <c r="Z97" s="27"/>
      <c r="AA97" s="7"/>
      <c r="AB97" s="7"/>
      <c r="AC97" s="8"/>
    </row>
    <row r="98" ht="15.75" customHeight="1">
      <c r="B98" s="39" t="s">
        <v>48</v>
      </c>
      <c r="C98" s="5">
        <v>1.0</v>
      </c>
      <c r="D98" s="5">
        <v>1.0</v>
      </c>
      <c r="J98" s="5">
        <f t="shared" si="1"/>
        <v>0</v>
      </c>
      <c r="L98" s="34">
        <v>43219.0</v>
      </c>
      <c r="M98" s="9">
        <v>0.43194444444444446</v>
      </c>
      <c r="N98" s="9">
        <v>0.4375</v>
      </c>
      <c r="O98" s="8" t="s">
        <v>74</v>
      </c>
      <c r="Q98" s="8"/>
      <c r="R98" s="9">
        <f t="shared" si="5"/>
        <v>0.005555555556</v>
      </c>
      <c r="Z98" s="27"/>
      <c r="AA98" s="7"/>
      <c r="AB98" s="7"/>
      <c r="AC98" s="8"/>
    </row>
    <row r="99" ht="15.75" customHeight="1">
      <c r="B99" s="39" t="s">
        <v>48</v>
      </c>
      <c r="C99" s="5">
        <v>1.0</v>
      </c>
      <c r="D99" s="13">
        <v>2.0</v>
      </c>
      <c r="E99" s="5">
        <v>1.0</v>
      </c>
      <c r="F99" s="5">
        <v>209.0</v>
      </c>
      <c r="G99" s="5">
        <v>356.0</v>
      </c>
      <c r="H99" s="5">
        <v>1.0</v>
      </c>
      <c r="I99" s="5">
        <v>4.0</v>
      </c>
      <c r="J99" s="5">
        <f t="shared" si="1"/>
        <v>2.09</v>
      </c>
      <c r="L99" s="34">
        <v>43219.0</v>
      </c>
      <c r="M99" s="9">
        <v>0.4395833333333334</v>
      </c>
      <c r="N99" s="9">
        <v>0.4458333333333333</v>
      </c>
      <c r="O99" s="8" t="s">
        <v>74</v>
      </c>
      <c r="Q99" s="8"/>
      <c r="R99" s="9">
        <f t="shared" si="5"/>
        <v>0.00625</v>
      </c>
      <c r="Z99" s="27"/>
      <c r="AA99" s="7"/>
      <c r="AB99" s="7"/>
      <c r="AC99" s="8"/>
    </row>
    <row r="100" ht="15.75" customHeight="1">
      <c r="B100" s="39" t="s">
        <v>48</v>
      </c>
      <c r="C100" s="5">
        <v>1.0</v>
      </c>
      <c r="D100" s="13">
        <v>2.0</v>
      </c>
      <c r="E100" s="5">
        <v>1.0</v>
      </c>
      <c r="F100" s="5">
        <v>209.0</v>
      </c>
      <c r="G100" s="5">
        <v>356.0</v>
      </c>
      <c r="H100" s="5">
        <v>1.0</v>
      </c>
      <c r="I100" s="5">
        <v>4.0</v>
      </c>
      <c r="J100" s="5">
        <f t="shared" si="1"/>
        <v>2.09</v>
      </c>
      <c r="L100" s="34">
        <v>43219.0</v>
      </c>
      <c r="M100" s="9">
        <v>0.0</v>
      </c>
      <c r="N100" s="9">
        <v>0.0</v>
      </c>
      <c r="O100" s="8" t="s">
        <v>74</v>
      </c>
      <c r="Q100" s="8"/>
      <c r="Z100" s="27"/>
      <c r="AA100" s="7"/>
      <c r="AB100" s="7"/>
      <c r="AC100" s="8"/>
    </row>
    <row r="101" ht="15.75" customHeight="1">
      <c r="B101" s="39" t="s">
        <v>48</v>
      </c>
      <c r="C101" s="5">
        <v>1.0</v>
      </c>
      <c r="D101" s="13">
        <v>3.0</v>
      </c>
      <c r="E101" s="5">
        <v>2.0</v>
      </c>
      <c r="F101" s="5">
        <v>241.0</v>
      </c>
      <c r="G101" s="5">
        <v>80.0</v>
      </c>
      <c r="H101" s="5">
        <v>1.0</v>
      </c>
      <c r="I101" s="5">
        <v>1.0</v>
      </c>
      <c r="J101" s="5">
        <f t="shared" si="1"/>
        <v>2.41</v>
      </c>
      <c r="L101" s="34">
        <v>43219.0</v>
      </c>
      <c r="M101" s="9">
        <v>0.45208333333333334</v>
      </c>
      <c r="N101" s="9">
        <v>0.4583333333333333</v>
      </c>
      <c r="O101" s="8" t="s">
        <v>25</v>
      </c>
      <c r="Q101" s="8"/>
      <c r="R101" s="9">
        <f t="shared" ref="R101:R110" si="6">N101-M101</f>
        <v>0.00625</v>
      </c>
      <c r="Z101" s="27"/>
      <c r="AA101" s="9"/>
      <c r="AB101" s="9"/>
      <c r="AC101" s="8"/>
    </row>
    <row r="102" ht="15.75" customHeight="1">
      <c r="B102" s="43" t="s">
        <v>82</v>
      </c>
      <c r="D102" s="13">
        <v>4.0</v>
      </c>
      <c r="J102" s="5">
        <f t="shared" si="1"/>
        <v>0</v>
      </c>
      <c r="L102" s="34">
        <v>43219.0</v>
      </c>
      <c r="M102" s="9">
        <v>0.4597222222222222</v>
      </c>
      <c r="N102" s="9">
        <v>0.46458333333333335</v>
      </c>
      <c r="O102" s="8" t="s">
        <v>25</v>
      </c>
      <c r="Q102" s="8"/>
      <c r="R102" s="9">
        <f t="shared" si="6"/>
        <v>0.004861111111</v>
      </c>
      <c r="Z102" s="27"/>
      <c r="AA102" s="9"/>
      <c r="AB102" s="9"/>
      <c r="AC102" s="8"/>
    </row>
    <row r="103" ht="15.75" customHeight="1">
      <c r="B103" s="43" t="s">
        <v>82</v>
      </c>
      <c r="D103" s="5">
        <v>5.0</v>
      </c>
      <c r="J103" s="5">
        <f t="shared" si="1"/>
        <v>0</v>
      </c>
      <c r="L103" s="27">
        <v>43219.0</v>
      </c>
      <c r="M103" s="7">
        <v>0.47222222222222227</v>
      </c>
      <c r="N103" s="7">
        <v>0.4777777777777778</v>
      </c>
      <c r="O103" s="8" t="s">
        <v>25</v>
      </c>
      <c r="Q103" s="8"/>
      <c r="R103" s="9">
        <f t="shared" si="6"/>
        <v>0.005555555556</v>
      </c>
      <c r="Z103" s="27"/>
      <c r="AA103" s="9"/>
      <c r="AB103" s="9"/>
      <c r="AC103" s="8"/>
    </row>
    <row r="104" ht="15.75" customHeight="1">
      <c r="B104" s="43" t="s">
        <v>82</v>
      </c>
      <c r="D104" s="5">
        <v>6.0</v>
      </c>
      <c r="J104" s="5">
        <f t="shared" si="1"/>
        <v>0</v>
      </c>
      <c r="L104" s="27">
        <v>43219.0</v>
      </c>
      <c r="M104" s="7">
        <v>0.4798611111111111</v>
      </c>
      <c r="N104" s="7">
        <v>0.4847222222222222</v>
      </c>
      <c r="O104" s="8" t="s">
        <v>25</v>
      </c>
      <c r="Q104" s="8"/>
      <c r="R104" s="9">
        <f t="shared" si="6"/>
        <v>0.004861111111</v>
      </c>
      <c r="Z104" s="27"/>
      <c r="AA104" s="9"/>
      <c r="AB104" s="9"/>
      <c r="AC104" s="8"/>
    </row>
    <row r="105" ht="15.75" customHeight="1">
      <c r="B105" s="43" t="s">
        <v>82</v>
      </c>
      <c r="D105" s="13">
        <v>7.0</v>
      </c>
      <c r="J105" s="5">
        <f t="shared" si="1"/>
        <v>0</v>
      </c>
      <c r="L105" s="27">
        <v>43219.0</v>
      </c>
      <c r="M105" s="7">
        <v>0.4895833333333333</v>
      </c>
      <c r="N105" s="7">
        <v>0.49444444444444446</v>
      </c>
      <c r="O105" s="8" t="s">
        <v>25</v>
      </c>
      <c r="Q105" s="8"/>
      <c r="R105" s="9">
        <f t="shared" si="6"/>
        <v>0.004861111111</v>
      </c>
      <c r="Z105" s="27"/>
      <c r="AA105" s="9"/>
      <c r="AB105" s="9"/>
      <c r="AC105" s="8"/>
    </row>
    <row r="106" ht="15.75" customHeight="1">
      <c r="B106" s="43" t="s">
        <v>82</v>
      </c>
      <c r="D106" s="13">
        <v>8.0</v>
      </c>
      <c r="J106" s="5">
        <f t="shared" si="1"/>
        <v>0</v>
      </c>
      <c r="L106" s="27">
        <v>43219.0</v>
      </c>
      <c r="M106" s="7">
        <v>0.5013888888888889</v>
      </c>
      <c r="N106" s="7">
        <v>0.5090277777777777</v>
      </c>
      <c r="O106" s="8" t="s">
        <v>25</v>
      </c>
      <c r="Q106" s="8"/>
      <c r="R106" s="9">
        <f t="shared" si="6"/>
        <v>0.007638888889</v>
      </c>
      <c r="Z106" s="27"/>
      <c r="AA106" s="9"/>
      <c r="AB106" s="9"/>
      <c r="AC106" s="8"/>
    </row>
    <row r="107" ht="15.75" customHeight="1">
      <c r="B107" s="39"/>
      <c r="D107" s="13">
        <v>9.0</v>
      </c>
      <c r="J107" s="5">
        <f t="shared" si="1"/>
        <v>0</v>
      </c>
      <c r="L107" s="27">
        <v>43219.0</v>
      </c>
      <c r="M107" s="9">
        <v>0.5111111111111112</v>
      </c>
      <c r="N107" s="9">
        <v>0.5201388888888888</v>
      </c>
      <c r="O107" s="8" t="s">
        <v>25</v>
      </c>
      <c r="Q107" s="8"/>
      <c r="R107" s="9">
        <f t="shared" si="6"/>
        <v>0.009027777778</v>
      </c>
      <c r="Z107" s="27"/>
      <c r="AA107" s="7"/>
      <c r="AB107" s="7"/>
      <c r="AC107" s="8"/>
    </row>
    <row r="108" ht="15.75" customHeight="1">
      <c r="B108" s="39"/>
      <c r="D108" s="5">
        <v>11.0</v>
      </c>
      <c r="J108" s="5">
        <f t="shared" si="1"/>
        <v>0</v>
      </c>
      <c r="L108" s="27">
        <v>43219.0</v>
      </c>
      <c r="M108" s="9">
        <v>0.525</v>
      </c>
      <c r="N108" s="9">
        <v>0.5284722222222222</v>
      </c>
      <c r="O108" s="8" t="s">
        <v>25</v>
      </c>
      <c r="Q108" s="8"/>
      <c r="R108" s="9">
        <f t="shared" si="6"/>
        <v>0.003472222222</v>
      </c>
      <c r="Z108" s="27"/>
      <c r="AA108" s="7"/>
      <c r="AB108" s="7"/>
      <c r="AC108" s="8"/>
    </row>
    <row r="109" ht="15.75" customHeight="1">
      <c r="B109" s="39"/>
      <c r="D109" s="5">
        <v>10.0</v>
      </c>
      <c r="J109" s="5">
        <f t="shared" si="1"/>
        <v>0</v>
      </c>
      <c r="L109" s="27">
        <v>43219.0</v>
      </c>
      <c r="M109" s="9">
        <v>0.5291666666666667</v>
      </c>
      <c r="N109" s="9">
        <v>0.5347222222222222</v>
      </c>
      <c r="O109" s="8" t="s">
        <v>25</v>
      </c>
      <c r="Q109" s="8"/>
      <c r="R109" s="9">
        <f t="shared" si="6"/>
        <v>0.005555555556</v>
      </c>
      <c r="Z109" s="27"/>
      <c r="AA109" s="7"/>
      <c r="AB109" s="7"/>
      <c r="AC109" s="8"/>
    </row>
    <row r="110" ht="15.75" customHeight="1">
      <c r="B110" s="42"/>
      <c r="C110" s="22"/>
      <c r="D110" s="22">
        <v>12.0</v>
      </c>
      <c r="E110" s="22"/>
      <c r="F110" s="22"/>
      <c r="G110" s="22"/>
      <c r="H110" s="22"/>
      <c r="I110" s="22"/>
      <c r="J110" s="5">
        <f t="shared" si="1"/>
        <v>0</v>
      </c>
      <c r="K110" s="22"/>
      <c r="L110" s="29">
        <v>43219.0</v>
      </c>
      <c r="M110" s="33">
        <v>0.5381944444444444</v>
      </c>
      <c r="N110" s="33">
        <v>0.5437500000000001</v>
      </c>
      <c r="O110" s="25" t="s">
        <v>25</v>
      </c>
      <c r="P110" s="22"/>
      <c r="Q110" s="8"/>
      <c r="R110" s="9">
        <f t="shared" si="6"/>
        <v>0.005555555556</v>
      </c>
      <c r="Z110" s="27"/>
      <c r="AA110" s="7"/>
      <c r="AB110" s="7"/>
      <c r="AC110" s="8"/>
    </row>
    <row r="111" ht="15.75" customHeight="1">
      <c r="B111" s="44" t="s">
        <v>48</v>
      </c>
      <c r="C111" s="8">
        <v>1.0</v>
      </c>
      <c r="D111" s="8">
        <v>1.0</v>
      </c>
      <c r="E111" s="8">
        <v>2.0</v>
      </c>
      <c r="F111" s="8">
        <v>291.0</v>
      </c>
      <c r="G111" s="8">
        <v>101.0</v>
      </c>
      <c r="H111" s="8">
        <v>5.0</v>
      </c>
      <c r="I111" s="8">
        <v>1.0</v>
      </c>
      <c r="J111" s="5">
        <f t="shared" si="1"/>
        <v>2.91</v>
      </c>
      <c r="K111" s="8"/>
      <c r="L111" s="27">
        <v>43237.0</v>
      </c>
      <c r="M111" s="8"/>
      <c r="N111" s="8"/>
      <c r="O111" s="8" t="s">
        <v>25</v>
      </c>
      <c r="P111" s="8"/>
      <c r="Q111" s="8"/>
      <c r="R111" s="7">
        <v>0.005555555555555556</v>
      </c>
      <c r="T111" s="8"/>
      <c r="U111" s="8"/>
      <c r="V111" s="8"/>
      <c r="W111" s="8"/>
      <c r="X111" s="8"/>
      <c r="Y111" s="8"/>
      <c r="Z111" s="8"/>
      <c r="AA111" s="8"/>
      <c r="AB111" s="8"/>
      <c r="AC111" s="41"/>
      <c r="AD111" s="7"/>
      <c r="AE111" s="7"/>
      <c r="AF111" s="8"/>
      <c r="AG111" s="8"/>
    </row>
    <row r="112" ht="15.75" customHeight="1">
      <c r="B112" s="44"/>
      <c r="C112" s="8"/>
      <c r="D112" s="38">
        <v>2.0</v>
      </c>
      <c r="E112" s="8"/>
      <c r="F112" s="8"/>
      <c r="G112" s="8"/>
      <c r="H112" s="8"/>
      <c r="I112" s="8"/>
      <c r="J112" s="5">
        <f t="shared" si="1"/>
        <v>0</v>
      </c>
      <c r="K112" s="8"/>
      <c r="L112" s="27">
        <v>43237.0</v>
      </c>
      <c r="M112" s="8"/>
      <c r="N112" s="8"/>
      <c r="O112" s="8" t="s">
        <v>25</v>
      </c>
      <c r="P112" s="8"/>
      <c r="Q112" s="8"/>
      <c r="R112" s="7">
        <v>0.002777777777777778</v>
      </c>
      <c r="T112" s="8"/>
      <c r="U112" s="8"/>
      <c r="V112" s="8"/>
      <c r="W112" s="8"/>
      <c r="X112" s="8"/>
      <c r="Y112" s="8"/>
      <c r="Z112" s="8"/>
      <c r="AA112" s="8"/>
      <c r="AB112" s="8"/>
      <c r="AC112" s="41"/>
      <c r="AD112" s="7"/>
      <c r="AE112" s="7"/>
      <c r="AF112" s="8"/>
      <c r="AG112" s="8"/>
    </row>
    <row r="113" ht="15.75" customHeight="1">
      <c r="B113" s="44"/>
      <c r="C113" s="8"/>
      <c r="D113" s="38">
        <v>3.0</v>
      </c>
      <c r="E113" s="8"/>
      <c r="F113" s="8"/>
      <c r="G113" s="8"/>
      <c r="H113" s="8"/>
      <c r="I113" s="8"/>
      <c r="J113" s="5">
        <f t="shared" si="1"/>
        <v>0</v>
      </c>
      <c r="K113" s="8"/>
      <c r="L113" s="27">
        <v>43237.0</v>
      </c>
      <c r="M113" s="8"/>
      <c r="N113" s="8"/>
      <c r="O113" s="8" t="s">
        <v>25</v>
      </c>
      <c r="P113" s="8"/>
      <c r="Q113" s="8"/>
      <c r="R113" s="7">
        <v>0.012499999999999999</v>
      </c>
      <c r="T113" s="8"/>
      <c r="U113" s="8"/>
      <c r="V113" s="8"/>
      <c r="W113" s="8"/>
      <c r="X113" s="8"/>
      <c r="Y113" s="8"/>
      <c r="Z113" s="8"/>
      <c r="AA113" s="8"/>
      <c r="AB113" s="8"/>
      <c r="AC113" s="41"/>
      <c r="AD113" s="7"/>
      <c r="AE113" s="7"/>
      <c r="AF113" s="8"/>
      <c r="AG113" s="8"/>
    </row>
    <row r="114" ht="15.75" customHeight="1">
      <c r="B114" s="44"/>
      <c r="C114" s="8"/>
      <c r="D114" s="38">
        <v>4.0</v>
      </c>
      <c r="E114" s="8"/>
      <c r="F114" s="8"/>
      <c r="G114" s="8"/>
      <c r="H114" s="8"/>
      <c r="I114" s="8"/>
      <c r="J114" s="5">
        <f t="shared" si="1"/>
        <v>0</v>
      </c>
      <c r="K114" s="8"/>
      <c r="L114" s="27">
        <v>43237.0</v>
      </c>
      <c r="M114" s="8"/>
      <c r="N114" s="8"/>
      <c r="O114" s="8" t="s">
        <v>25</v>
      </c>
      <c r="P114" s="8"/>
      <c r="Q114" s="8"/>
      <c r="R114" s="7">
        <v>0.0062499999999999995</v>
      </c>
      <c r="T114" s="8"/>
      <c r="U114" s="8"/>
      <c r="V114" s="8"/>
      <c r="W114" s="8"/>
      <c r="X114" s="8"/>
      <c r="Y114" s="8"/>
      <c r="Z114" s="8"/>
      <c r="AA114" s="8"/>
      <c r="AB114" s="8"/>
      <c r="AC114" s="41"/>
      <c r="AD114" s="7"/>
      <c r="AE114" s="7"/>
      <c r="AF114" s="8"/>
      <c r="AG114" s="8"/>
    </row>
    <row r="115" ht="15.75" customHeight="1">
      <c r="B115" s="44" t="s">
        <v>48</v>
      </c>
      <c r="C115" s="8">
        <v>1.0</v>
      </c>
      <c r="D115" s="8">
        <v>6.0</v>
      </c>
      <c r="E115" s="8">
        <v>1.0</v>
      </c>
      <c r="F115" s="8">
        <v>390.0</v>
      </c>
      <c r="G115" s="8">
        <v>194.0</v>
      </c>
      <c r="H115" s="8">
        <v>2.0</v>
      </c>
      <c r="I115" s="8">
        <v>5.0</v>
      </c>
      <c r="J115" s="5">
        <f t="shared" si="1"/>
        <v>3.9</v>
      </c>
      <c r="K115" s="8"/>
      <c r="L115" s="27">
        <v>43237.0</v>
      </c>
      <c r="M115" s="8"/>
      <c r="N115" s="8"/>
      <c r="O115" s="8" t="s">
        <v>25</v>
      </c>
      <c r="P115" s="8"/>
      <c r="Q115" s="8"/>
      <c r="R115" s="7">
        <v>0.004166666666666667</v>
      </c>
      <c r="T115" s="8"/>
      <c r="U115" s="8"/>
      <c r="V115" s="8"/>
      <c r="W115" s="8"/>
      <c r="X115" s="8"/>
      <c r="Y115" s="8"/>
      <c r="Z115" s="8"/>
      <c r="AA115" s="8"/>
      <c r="AB115" s="8"/>
      <c r="AC115" s="41"/>
      <c r="AD115" s="7"/>
      <c r="AE115" s="7"/>
      <c r="AF115" s="8"/>
      <c r="AG115" s="8"/>
    </row>
    <row r="116" ht="15.75" customHeight="1">
      <c r="B116" s="44" t="s">
        <v>48</v>
      </c>
      <c r="C116" s="8">
        <v>1.0</v>
      </c>
      <c r="D116" s="8">
        <v>5.0</v>
      </c>
      <c r="E116" s="8">
        <v>2.0</v>
      </c>
      <c r="F116" s="8">
        <v>300.0</v>
      </c>
      <c r="G116" s="8">
        <v>210.0</v>
      </c>
      <c r="H116" s="8">
        <v>2.0</v>
      </c>
      <c r="I116" s="8">
        <v>1.0</v>
      </c>
      <c r="J116" s="5">
        <f t="shared" si="1"/>
        <v>3</v>
      </c>
      <c r="K116" s="8"/>
      <c r="L116" s="27">
        <v>43237.0</v>
      </c>
      <c r="M116" s="8"/>
      <c r="N116" s="8"/>
      <c r="O116" s="8" t="s">
        <v>25</v>
      </c>
      <c r="P116" s="8"/>
      <c r="Q116" s="8"/>
      <c r="R116" s="7">
        <v>0.0062499999999999995</v>
      </c>
      <c r="T116" s="8"/>
      <c r="U116" s="8"/>
      <c r="V116" s="8"/>
      <c r="W116" s="8"/>
      <c r="X116" s="8"/>
      <c r="Y116" s="8"/>
      <c r="Z116" s="8"/>
      <c r="AA116" s="8"/>
      <c r="AB116" s="8"/>
      <c r="AC116" s="41"/>
      <c r="AD116" s="7"/>
      <c r="AE116" s="7"/>
      <c r="AF116" s="8"/>
      <c r="AG116" s="8"/>
    </row>
    <row r="117" ht="15.75" customHeight="1">
      <c r="B117" s="44"/>
      <c r="C117" s="8"/>
      <c r="D117" s="38">
        <v>7.0</v>
      </c>
      <c r="E117" s="8"/>
      <c r="F117" s="8"/>
      <c r="G117" s="8"/>
      <c r="H117" s="8"/>
      <c r="I117" s="8"/>
      <c r="J117" s="5">
        <f t="shared" si="1"/>
        <v>0</v>
      </c>
      <c r="K117" s="8"/>
      <c r="L117" s="27">
        <v>43237.0</v>
      </c>
      <c r="M117" s="8"/>
      <c r="N117" s="8"/>
      <c r="O117" s="8" t="s">
        <v>25</v>
      </c>
      <c r="P117" s="8"/>
      <c r="Q117" s="8"/>
      <c r="R117" s="7">
        <v>0.006944444444444444</v>
      </c>
      <c r="T117" s="8"/>
      <c r="U117" s="8"/>
      <c r="V117" s="8"/>
      <c r="W117" s="8"/>
      <c r="X117" s="8"/>
      <c r="Y117" s="8"/>
      <c r="Z117" s="8"/>
      <c r="AA117" s="8"/>
      <c r="AB117" s="8"/>
      <c r="AC117" s="41"/>
      <c r="AD117" s="7"/>
      <c r="AE117" s="7"/>
      <c r="AF117" s="8"/>
      <c r="AG117" s="8"/>
    </row>
    <row r="118" ht="15.75" customHeight="1">
      <c r="B118" s="44" t="s">
        <v>48</v>
      </c>
      <c r="C118" s="8">
        <v>1.0</v>
      </c>
      <c r="D118" s="38">
        <v>8.0</v>
      </c>
      <c r="E118" s="8">
        <v>3.0</v>
      </c>
      <c r="F118" s="8">
        <v>46.0</v>
      </c>
      <c r="G118" s="8">
        <v>128.0</v>
      </c>
      <c r="H118" s="8">
        <v>1.0</v>
      </c>
      <c r="I118" s="8">
        <v>5.0</v>
      </c>
      <c r="J118" s="5">
        <f t="shared" si="1"/>
        <v>0.46</v>
      </c>
      <c r="K118" s="8"/>
      <c r="L118" s="27">
        <v>43237.0</v>
      </c>
      <c r="M118" s="8"/>
      <c r="N118" s="8"/>
      <c r="O118" s="8" t="s">
        <v>25</v>
      </c>
      <c r="P118" s="8"/>
      <c r="Q118" s="8"/>
      <c r="R118" s="7">
        <v>0.013194444444444444</v>
      </c>
      <c r="T118" s="8"/>
      <c r="U118" s="8"/>
      <c r="V118" s="8"/>
      <c r="W118" s="8"/>
      <c r="X118" s="8"/>
      <c r="Y118" s="8"/>
      <c r="Z118" s="8"/>
      <c r="AA118" s="8"/>
      <c r="AB118" s="8"/>
      <c r="AC118" s="41"/>
      <c r="AD118" s="7"/>
      <c r="AE118" s="7"/>
      <c r="AF118" s="8"/>
      <c r="AG118" s="8"/>
    </row>
    <row r="119" ht="15.75" customHeight="1">
      <c r="B119" s="44"/>
      <c r="C119" s="8"/>
      <c r="D119" s="38">
        <v>9.0</v>
      </c>
      <c r="E119" s="8"/>
      <c r="F119" s="8"/>
      <c r="G119" s="8"/>
      <c r="H119" s="8"/>
      <c r="I119" s="8"/>
      <c r="J119" s="5">
        <f t="shared" si="1"/>
        <v>0</v>
      </c>
      <c r="K119" s="8"/>
      <c r="L119" s="27">
        <v>43237.0</v>
      </c>
      <c r="M119" s="8"/>
      <c r="N119" s="8"/>
      <c r="O119" s="8" t="s">
        <v>25</v>
      </c>
      <c r="P119" s="8"/>
      <c r="Q119" s="8"/>
      <c r="R119" s="7">
        <v>0.006944444444444444</v>
      </c>
      <c r="T119" s="8"/>
      <c r="U119" s="8"/>
      <c r="V119" s="8"/>
      <c r="W119" s="8"/>
      <c r="X119" s="8"/>
      <c r="Y119" s="8"/>
      <c r="Z119" s="8"/>
      <c r="AA119" s="8"/>
      <c r="AB119" s="8"/>
      <c r="AC119" s="41"/>
      <c r="AD119" s="7"/>
      <c r="AE119" s="7"/>
      <c r="AF119" s="8"/>
      <c r="AG119" s="8"/>
    </row>
    <row r="120" ht="15.75" customHeight="1">
      <c r="B120" s="44" t="s">
        <v>48</v>
      </c>
      <c r="C120" s="8">
        <v>1.0</v>
      </c>
      <c r="D120" s="8">
        <v>10.0</v>
      </c>
      <c r="E120" s="8">
        <v>1.0</v>
      </c>
      <c r="F120" s="8">
        <v>586.0</v>
      </c>
      <c r="G120" s="8">
        <v>139.0</v>
      </c>
      <c r="H120" s="8">
        <v>2.0</v>
      </c>
      <c r="I120" s="8">
        <v>1.0</v>
      </c>
      <c r="J120" s="5">
        <f t="shared" si="1"/>
        <v>5.86</v>
      </c>
      <c r="K120" s="8"/>
      <c r="L120" s="27">
        <v>43237.0</v>
      </c>
      <c r="M120" s="8"/>
      <c r="N120" s="8"/>
      <c r="O120" s="8" t="s">
        <v>25</v>
      </c>
      <c r="P120" s="8"/>
      <c r="Q120" s="8"/>
      <c r="R120" s="7">
        <v>0.005555555555555556</v>
      </c>
      <c r="T120" s="8"/>
      <c r="U120" s="8"/>
      <c r="V120" s="8"/>
      <c r="W120" s="8"/>
      <c r="X120" s="8"/>
      <c r="Y120" s="8"/>
      <c r="Z120" s="8"/>
      <c r="AA120" s="8"/>
      <c r="AB120" s="8"/>
      <c r="AC120" s="41"/>
      <c r="AD120" s="7"/>
      <c r="AE120" s="7"/>
      <c r="AF120" s="8"/>
      <c r="AG120" s="8"/>
    </row>
    <row r="121" ht="15.75" customHeight="1">
      <c r="B121" s="44" t="s">
        <v>48</v>
      </c>
      <c r="C121" s="8">
        <v>1.0</v>
      </c>
      <c r="D121" s="8">
        <v>10.0</v>
      </c>
      <c r="E121" s="8">
        <v>3.0</v>
      </c>
      <c r="F121" s="8">
        <v>656.0</v>
      </c>
      <c r="G121" s="8">
        <v>134.0</v>
      </c>
      <c r="H121" s="8">
        <v>2.0</v>
      </c>
      <c r="I121" s="8">
        <v>1.0</v>
      </c>
      <c r="J121" s="5">
        <f t="shared" si="1"/>
        <v>6.56</v>
      </c>
      <c r="K121" s="8"/>
      <c r="L121" s="27">
        <v>43237.0</v>
      </c>
      <c r="M121" s="8"/>
      <c r="N121" s="8"/>
      <c r="O121" s="8" t="s">
        <v>25</v>
      </c>
      <c r="P121" s="8"/>
      <c r="Q121" s="8"/>
      <c r="R121" s="8"/>
      <c r="T121" s="8"/>
      <c r="U121" s="8"/>
      <c r="V121" s="8"/>
      <c r="W121" s="8"/>
      <c r="X121" s="8"/>
      <c r="Y121" s="8"/>
      <c r="Z121" s="8"/>
      <c r="AA121" s="8"/>
      <c r="AB121" s="8"/>
      <c r="AC121" s="41"/>
      <c r="AD121" s="7"/>
      <c r="AE121" s="7"/>
      <c r="AF121" s="8"/>
      <c r="AG121" s="8"/>
    </row>
    <row r="122" ht="15.75" customHeight="1">
      <c r="B122" s="44" t="s">
        <v>48</v>
      </c>
      <c r="C122" s="8">
        <v>1.0</v>
      </c>
      <c r="D122" s="8">
        <v>10.0</v>
      </c>
      <c r="E122" s="8">
        <v>1.0</v>
      </c>
      <c r="F122" s="8">
        <v>477.0</v>
      </c>
      <c r="G122" s="8">
        <v>140.0</v>
      </c>
      <c r="H122" s="8">
        <v>2.0</v>
      </c>
      <c r="I122" s="8">
        <v>1.0</v>
      </c>
      <c r="J122" s="5">
        <f t="shared" si="1"/>
        <v>4.77</v>
      </c>
      <c r="K122" s="8"/>
      <c r="L122" s="27">
        <v>43237.0</v>
      </c>
      <c r="M122" s="8"/>
      <c r="N122" s="8"/>
      <c r="O122" s="8" t="s">
        <v>25</v>
      </c>
      <c r="P122" s="8"/>
      <c r="Q122" s="8"/>
      <c r="R122" s="8"/>
      <c r="T122" s="8"/>
      <c r="U122" s="8"/>
      <c r="V122" s="8"/>
      <c r="W122" s="8"/>
      <c r="X122" s="8"/>
      <c r="Y122" s="8"/>
      <c r="Z122" s="8"/>
      <c r="AA122" s="8"/>
      <c r="AB122" s="8"/>
      <c r="AC122" s="41"/>
      <c r="AD122" s="7"/>
      <c r="AE122" s="7"/>
      <c r="AF122" s="8"/>
      <c r="AG122" s="8"/>
    </row>
    <row r="123" ht="15.75" customHeight="1">
      <c r="B123" s="44"/>
      <c r="C123" s="8"/>
      <c r="D123" s="8">
        <v>11.0</v>
      </c>
      <c r="E123" s="8"/>
      <c r="F123" s="8"/>
      <c r="G123" s="8"/>
      <c r="H123" s="8"/>
      <c r="I123" s="8"/>
      <c r="J123" s="5">
        <f t="shared" si="1"/>
        <v>0</v>
      </c>
      <c r="K123" s="8"/>
      <c r="L123" s="27">
        <v>43237.0</v>
      </c>
      <c r="M123" s="8"/>
      <c r="N123" s="8"/>
      <c r="O123" s="8" t="s">
        <v>25</v>
      </c>
      <c r="P123" s="8"/>
      <c r="Q123" s="8"/>
      <c r="R123" s="7">
        <v>0.004861111111111111</v>
      </c>
      <c r="T123" s="8"/>
      <c r="U123" s="8"/>
      <c r="V123" s="8"/>
      <c r="W123" s="8"/>
      <c r="X123" s="8"/>
      <c r="Y123" s="8"/>
      <c r="Z123" s="8"/>
      <c r="AA123" s="8"/>
      <c r="AB123" s="8"/>
      <c r="AC123" s="41"/>
      <c r="AD123" s="7"/>
      <c r="AE123" s="7"/>
      <c r="AF123" s="8"/>
      <c r="AG123" s="8"/>
    </row>
    <row r="124" ht="15.75" customHeight="1">
      <c r="B124" s="45"/>
      <c r="C124" s="25"/>
      <c r="D124" s="25">
        <v>12.0</v>
      </c>
      <c r="E124" s="25"/>
      <c r="F124" s="25"/>
      <c r="G124" s="25"/>
      <c r="H124" s="25"/>
      <c r="I124" s="25"/>
      <c r="J124" s="5">
        <f t="shared" si="1"/>
        <v>0</v>
      </c>
      <c r="K124" s="25"/>
      <c r="L124" s="27">
        <v>43237.0</v>
      </c>
      <c r="M124" s="25"/>
      <c r="N124" s="25"/>
      <c r="O124" s="25" t="s">
        <v>25</v>
      </c>
      <c r="P124" s="25"/>
      <c r="Q124" s="8"/>
      <c r="R124" s="7">
        <v>0.009722222222222222</v>
      </c>
      <c r="T124" s="8"/>
      <c r="U124" s="8"/>
      <c r="V124" s="8"/>
      <c r="W124" s="8"/>
      <c r="X124" s="8"/>
      <c r="Y124" s="8"/>
      <c r="Z124" s="8"/>
      <c r="AA124" s="8"/>
      <c r="AB124" s="8"/>
      <c r="AC124" s="41"/>
      <c r="AD124" s="7"/>
      <c r="AE124" s="7"/>
      <c r="AF124" s="8"/>
      <c r="AG124" s="8"/>
    </row>
    <row r="125" ht="15.75" customHeight="1">
      <c r="B125" s="39" t="s">
        <v>48</v>
      </c>
      <c r="C125" s="5">
        <v>1.0</v>
      </c>
      <c r="D125" s="5">
        <v>6.0</v>
      </c>
      <c r="E125" s="5">
        <v>1.0</v>
      </c>
      <c r="F125" s="5">
        <v>390.0</v>
      </c>
      <c r="G125" s="5">
        <v>194.0</v>
      </c>
      <c r="H125" s="5">
        <v>2.0</v>
      </c>
      <c r="I125" s="5">
        <v>5.0</v>
      </c>
      <c r="J125" s="5">
        <f t="shared" si="1"/>
        <v>3.9</v>
      </c>
      <c r="L125" s="27">
        <v>43266.0</v>
      </c>
      <c r="O125" s="8" t="s">
        <v>25</v>
      </c>
      <c r="R125" s="9">
        <v>0.004166666666666667</v>
      </c>
      <c r="T125" s="8"/>
      <c r="U125" s="8"/>
      <c r="V125" s="8"/>
      <c r="W125" s="8"/>
      <c r="X125" s="8"/>
      <c r="Y125" s="8"/>
      <c r="Z125" s="8"/>
      <c r="AA125" s="8"/>
      <c r="AB125" s="8"/>
      <c r="AC125" s="41"/>
      <c r="AD125" s="7"/>
      <c r="AE125" s="7"/>
      <c r="AF125" s="8"/>
      <c r="AG125" s="8"/>
    </row>
    <row r="126" ht="15.75" customHeight="1">
      <c r="B126" s="39" t="s">
        <v>48</v>
      </c>
      <c r="C126" s="5">
        <v>1.0</v>
      </c>
      <c r="D126" s="5">
        <v>5.0</v>
      </c>
      <c r="E126" s="5">
        <v>2.0</v>
      </c>
      <c r="F126" s="5">
        <v>300.0</v>
      </c>
      <c r="G126" s="5">
        <v>210.0</v>
      </c>
      <c r="H126" s="5">
        <v>2.0</v>
      </c>
      <c r="I126" s="5">
        <v>1.0</v>
      </c>
      <c r="J126" s="5">
        <f t="shared" si="1"/>
        <v>3</v>
      </c>
      <c r="L126" s="27">
        <v>43266.0</v>
      </c>
      <c r="O126" s="8" t="s">
        <v>25</v>
      </c>
      <c r="R126" s="9">
        <v>0.0062499999999999995</v>
      </c>
      <c r="T126" s="8"/>
      <c r="U126" s="8"/>
      <c r="V126" s="8"/>
      <c r="W126" s="8"/>
      <c r="X126" s="8"/>
      <c r="Y126" s="8"/>
      <c r="Z126" s="8"/>
      <c r="AA126" s="8"/>
      <c r="AB126" s="8"/>
      <c r="AC126" s="27"/>
      <c r="AD126" s="7"/>
      <c r="AE126" s="7"/>
      <c r="AF126" s="8"/>
      <c r="AG126" s="8"/>
    </row>
    <row r="127" ht="15.75" customHeight="1">
      <c r="B127" s="39"/>
      <c r="D127" s="13">
        <v>7.0</v>
      </c>
      <c r="J127" s="5">
        <f t="shared" si="1"/>
        <v>0</v>
      </c>
      <c r="L127" s="27">
        <v>43266.0</v>
      </c>
      <c r="O127" s="8" t="s">
        <v>25</v>
      </c>
      <c r="R127" s="9">
        <v>0.006944444444444444</v>
      </c>
      <c r="T127" s="8"/>
      <c r="U127" s="8"/>
      <c r="V127" s="8"/>
      <c r="W127" s="8"/>
      <c r="X127" s="8"/>
      <c r="Y127" s="8"/>
      <c r="Z127" s="8"/>
      <c r="AA127" s="8"/>
      <c r="AB127" s="8"/>
      <c r="AC127" s="27"/>
      <c r="AD127" s="7"/>
      <c r="AE127" s="7"/>
      <c r="AF127" s="8"/>
      <c r="AG127" s="8"/>
    </row>
    <row r="128" ht="15.75" customHeight="1">
      <c r="B128" s="39" t="s">
        <v>48</v>
      </c>
      <c r="C128" s="5">
        <v>1.0</v>
      </c>
      <c r="D128" s="13">
        <v>8.0</v>
      </c>
      <c r="E128" s="5">
        <v>3.0</v>
      </c>
      <c r="F128" s="5">
        <v>46.0</v>
      </c>
      <c r="G128" s="5">
        <v>128.0</v>
      </c>
      <c r="H128" s="5">
        <v>1.0</v>
      </c>
      <c r="I128" s="5">
        <v>5.0</v>
      </c>
      <c r="J128" s="5">
        <f t="shared" si="1"/>
        <v>0.46</v>
      </c>
      <c r="L128" s="27">
        <v>43266.0</v>
      </c>
      <c r="O128" s="8" t="s">
        <v>25</v>
      </c>
      <c r="R128" s="9">
        <v>0.013194444444444444</v>
      </c>
      <c r="T128" s="8"/>
      <c r="U128" s="8"/>
      <c r="V128" s="8"/>
      <c r="W128" s="8"/>
      <c r="X128" s="8"/>
      <c r="Y128" s="8"/>
      <c r="Z128" s="8"/>
      <c r="AA128" s="8"/>
      <c r="AB128" s="8"/>
      <c r="AC128" s="27"/>
      <c r="AD128" s="7"/>
      <c r="AE128" s="7"/>
      <c r="AF128" s="8"/>
      <c r="AG128" s="8"/>
    </row>
    <row r="129" ht="15.75" customHeight="1">
      <c r="B129" s="39"/>
      <c r="D129" s="13">
        <v>9.0</v>
      </c>
      <c r="J129" s="5">
        <f t="shared" si="1"/>
        <v>0</v>
      </c>
      <c r="L129" s="27">
        <v>43266.0</v>
      </c>
      <c r="O129" s="8" t="s">
        <v>25</v>
      </c>
      <c r="R129" s="9">
        <v>0.006944444444444444</v>
      </c>
      <c r="T129" s="8"/>
      <c r="U129" s="8"/>
      <c r="V129" s="8"/>
      <c r="W129" s="8"/>
      <c r="X129" s="8"/>
      <c r="Y129" s="8"/>
      <c r="Z129" s="8"/>
      <c r="AA129" s="8"/>
      <c r="AB129" s="8"/>
      <c r="AC129" s="27"/>
      <c r="AD129" s="7"/>
      <c r="AE129" s="7"/>
      <c r="AF129" s="8"/>
      <c r="AG129" s="8"/>
    </row>
    <row r="130" ht="15.75" customHeight="1">
      <c r="B130" s="39" t="s">
        <v>48</v>
      </c>
      <c r="C130" s="5">
        <v>1.0</v>
      </c>
      <c r="D130" s="5">
        <v>10.0</v>
      </c>
      <c r="E130" s="5">
        <v>1.0</v>
      </c>
      <c r="F130" s="5">
        <v>586.0</v>
      </c>
      <c r="G130" s="5">
        <v>139.0</v>
      </c>
      <c r="H130" s="5">
        <v>2.0</v>
      </c>
      <c r="I130" s="5">
        <v>1.0</v>
      </c>
      <c r="J130" s="5">
        <f t="shared" si="1"/>
        <v>5.86</v>
      </c>
      <c r="L130" s="27">
        <v>43266.0</v>
      </c>
      <c r="O130" s="8" t="s">
        <v>25</v>
      </c>
      <c r="R130" s="9">
        <v>0.005555555555555556</v>
      </c>
      <c r="T130" s="8"/>
      <c r="U130" s="8"/>
      <c r="V130" s="8"/>
      <c r="W130" s="8"/>
      <c r="X130" s="8"/>
      <c r="Y130" s="8"/>
      <c r="Z130" s="8"/>
      <c r="AA130" s="8"/>
      <c r="AB130" s="8"/>
      <c r="AC130" s="27"/>
      <c r="AD130" s="7"/>
      <c r="AE130" s="7"/>
      <c r="AF130" s="8"/>
      <c r="AG130" s="8"/>
    </row>
    <row r="131" ht="15.75" customHeight="1">
      <c r="B131" s="39" t="s">
        <v>48</v>
      </c>
      <c r="C131" s="5">
        <v>1.0</v>
      </c>
      <c r="D131" s="5">
        <v>10.0</v>
      </c>
      <c r="E131" s="5">
        <v>3.0</v>
      </c>
      <c r="F131" s="5">
        <v>656.0</v>
      </c>
      <c r="G131" s="5">
        <v>134.0</v>
      </c>
      <c r="H131" s="5">
        <v>2.0</v>
      </c>
      <c r="I131" s="5">
        <v>1.0</v>
      </c>
      <c r="J131" s="5">
        <f t="shared" si="1"/>
        <v>6.56</v>
      </c>
      <c r="L131" s="27">
        <v>43266.0</v>
      </c>
      <c r="O131" s="8" t="s">
        <v>25</v>
      </c>
      <c r="T131" s="8"/>
      <c r="U131" s="8"/>
      <c r="V131" s="8"/>
      <c r="W131" s="8"/>
      <c r="X131" s="8"/>
      <c r="Y131" s="8"/>
      <c r="Z131" s="8"/>
      <c r="AA131" s="8"/>
      <c r="AB131" s="8"/>
      <c r="AC131" s="27"/>
      <c r="AD131" s="7"/>
      <c r="AE131" s="7"/>
      <c r="AF131" s="8"/>
      <c r="AG131" s="8"/>
    </row>
    <row r="132" ht="15.75" customHeight="1">
      <c r="B132" s="39" t="s">
        <v>48</v>
      </c>
      <c r="C132" s="5">
        <v>1.0</v>
      </c>
      <c r="D132" s="5">
        <v>10.0</v>
      </c>
      <c r="E132" s="5">
        <v>1.0</v>
      </c>
      <c r="F132" s="5">
        <v>477.0</v>
      </c>
      <c r="G132" s="5">
        <v>140.0</v>
      </c>
      <c r="H132" s="5">
        <v>2.0</v>
      </c>
      <c r="I132" s="5">
        <v>1.0</v>
      </c>
      <c r="J132" s="5">
        <f t="shared" si="1"/>
        <v>4.77</v>
      </c>
      <c r="L132" s="27">
        <v>43266.0</v>
      </c>
      <c r="O132" s="8" t="s">
        <v>25</v>
      </c>
      <c r="T132" s="8"/>
      <c r="U132" s="8"/>
      <c r="V132" s="8"/>
      <c r="W132" s="8"/>
      <c r="X132" s="8"/>
      <c r="Y132" s="8"/>
      <c r="Z132" s="8"/>
      <c r="AA132" s="8"/>
      <c r="AB132" s="8"/>
      <c r="AC132" s="27"/>
      <c r="AD132" s="7"/>
      <c r="AE132" s="7"/>
      <c r="AF132" s="8"/>
      <c r="AG132" s="8"/>
    </row>
    <row r="133" ht="15.75" customHeight="1">
      <c r="B133" s="39"/>
      <c r="D133" s="5">
        <v>11.0</v>
      </c>
      <c r="J133" s="5">
        <f t="shared" si="1"/>
        <v>0</v>
      </c>
      <c r="L133" s="27">
        <v>43266.0</v>
      </c>
      <c r="O133" s="8" t="s">
        <v>25</v>
      </c>
      <c r="R133" s="9">
        <v>0.004861111111111111</v>
      </c>
      <c r="T133" s="8"/>
      <c r="U133" s="8"/>
      <c r="V133" s="8"/>
      <c r="W133" s="8"/>
      <c r="X133" s="8"/>
      <c r="Y133" s="8"/>
      <c r="Z133" s="8"/>
      <c r="AA133" s="8"/>
      <c r="AB133" s="8"/>
      <c r="AC133" s="27"/>
      <c r="AD133" s="7"/>
      <c r="AE133" s="7"/>
      <c r="AF133" s="8"/>
      <c r="AG133" s="8"/>
    </row>
    <row r="134" ht="15.75" customHeight="1">
      <c r="B134" s="39"/>
      <c r="C134" s="11"/>
      <c r="D134" s="11">
        <v>12.0</v>
      </c>
      <c r="E134" s="11"/>
      <c r="F134" s="11"/>
      <c r="G134" s="11"/>
      <c r="H134" s="11"/>
      <c r="I134" s="11"/>
      <c r="J134" s="5">
        <f t="shared" si="1"/>
        <v>0</v>
      </c>
      <c r="K134" s="11"/>
      <c r="L134" s="27">
        <v>43266.0</v>
      </c>
      <c r="M134" s="11"/>
      <c r="N134" s="11"/>
      <c r="O134" s="8" t="s">
        <v>25</v>
      </c>
      <c r="P134" s="11"/>
      <c r="R134" s="9">
        <v>0.009722222222222222</v>
      </c>
      <c r="T134" s="8"/>
      <c r="U134" s="8"/>
      <c r="V134" s="8"/>
      <c r="W134" s="8"/>
      <c r="X134" s="8"/>
      <c r="Y134" s="8"/>
      <c r="Z134" s="8"/>
      <c r="AA134" s="8"/>
      <c r="AB134" s="8"/>
      <c r="AC134" s="27"/>
      <c r="AD134" s="7"/>
      <c r="AE134" s="7"/>
      <c r="AF134" s="8"/>
      <c r="AG134" s="8"/>
    </row>
    <row r="135" ht="15.75" customHeight="1">
      <c r="B135" s="42" t="s">
        <v>48</v>
      </c>
      <c r="C135" s="22">
        <v>1.0</v>
      </c>
      <c r="D135" s="22">
        <v>6.0</v>
      </c>
      <c r="E135" s="22">
        <v>1.0</v>
      </c>
      <c r="F135" s="22">
        <v>450.0</v>
      </c>
      <c r="G135" s="22">
        <v>315.0</v>
      </c>
      <c r="H135" s="22">
        <v>2.0</v>
      </c>
      <c r="I135" s="22">
        <v>1.0</v>
      </c>
      <c r="J135" s="5">
        <f t="shared" si="1"/>
        <v>4.5</v>
      </c>
      <c r="K135" s="22"/>
      <c r="L135" s="29">
        <v>43266.0</v>
      </c>
      <c r="M135" s="22"/>
      <c r="N135" s="22"/>
      <c r="O135" s="25" t="s">
        <v>65</v>
      </c>
      <c r="P135" s="22"/>
      <c r="R135" s="9">
        <v>0.0062499999999999995</v>
      </c>
      <c r="T135" s="8"/>
      <c r="U135" s="8"/>
      <c r="V135" s="8"/>
      <c r="W135" s="8"/>
      <c r="X135" s="8"/>
      <c r="Y135" s="8"/>
      <c r="Z135" s="8"/>
      <c r="AA135" s="8"/>
      <c r="AB135" s="8"/>
      <c r="AC135" s="27"/>
      <c r="AD135" s="7"/>
      <c r="AE135" s="7"/>
      <c r="AF135" s="8"/>
      <c r="AG135" s="8"/>
    </row>
    <row r="136" ht="15.75" customHeight="1">
      <c r="B136" s="39" t="s">
        <v>48</v>
      </c>
      <c r="C136" s="5">
        <v>1.0</v>
      </c>
      <c r="D136" s="5">
        <v>5.0</v>
      </c>
      <c r="E136" s="5">
        <v>2.0</v>
      </c>
      <c r="F136" s="5">
        <v>380.0</v>
      </c>
      <c r="G136" s="5">
        <v>383.0</v>
      </c>
      <c r="H136" s="5">
        <v>2.0</v>
      </c>
      <c r="I136" s="5">
        <v>1.0</v>
      </c>
      <c r="J136" s="5">
        <f t="shared" si="1"/>
        <v>3.8</v>
      </c>
      <c r="L136" s="27">
        <v>43293.0</v>
      </c>
      <c r="O136" s="8" t="s">
        <v>74</v>
      </c>
      <c r="R136" s="9">
        <v>0.0062499999999999995</v>
      </c>
      <c r="T136" s="8"/>
      <c r="U136" s="8"/>
      <c r="V136" s="8"/>
      <c r="W136" s="8"/>
      <c r="X136" s="8"/>
      <c r="Y136" s="8"/>
      <c r="Z136" s="8"/>
      <c r="AA136" s="8"/>
      <c r="AB136" s="8"/>
      <c r="AC136" s="27"/>
      <c r="AD136" s="7"/>
      <c r="AE136" s="7"/>
      <c r="AF136" s="8"/>
      <c r="AG136" s="8"/>
    </row>
    <row r="137" ht="15.75" customHeight="1">
      <c r="B137" s="39" t="s">
        <v>48</v>
      </c>
      <c r="C137" s="5">
        <v>1.0</v>
      </c>
      <c r="D137" s="5">
        <v>5.0</v>
      </c>
      <c r="E137" s="5">
        <v>1.0</v>
      </c>
      <c r="F137" s="5">
        <v>280.0</v>
      </c>
      <c r="G137" s="5">
        <v>383.0</v>
      </c>
      <c r="H137" s="5">
        <v>2.0</v>
      </c>
      <c r="I137" s="5">
        <v>1.0</v>
      </c>
      <c r="J137" s="5">
        <f t="shared" si="1"/>
        <v>2.8</v>
      </c>
      <c r="L137" s="27">
        <v>43293.0</v>
      </c>
      <c r="O137" s="8" t="s">
        <v>74</v>
      </c>
      <c r="T137" s="8"/>
      <c r="U137" s="8"/>
      <c r="V137" s="8"/>
      <c r="W137" s="8"/>
      <c r="X137" s="8"/>
      <c r="Y137" s="8"/>
      <c r="Z137" s="8"/>
      <c r="AA137" s="8"/>
      <c r="AB137" s="8"/>
      <c r="AC137" s="27"/>
      <c r="AD137" s="7"/>
      <c r="AE137" s="7"/>
      <c r="AF137" s="8"/>
      <c r="AG137" s="8"/>
    </row>
    <row r="138" ht="15.75" customHeight="1">
      <c r="B138" s="39" t="s">
        <v>48</v>
      </c>
      <c r="C138" s="5">
        <v>1.0</v>
      </c>
      <c r="D138" s="13">
        <v>8.0</v>
      </c>
      <c r="E138" s="5">
        <v>1.0</v>
      </c>
      <c r="F138" s="5">
        <v>700.0</v>
      </c>
      <c r="G138" s="5">
        <v>198.0</v>
      </c>
      <c r="H138" s="5">
        <v>1.0</v>
      </c>
      <c r="I138" s="5">
        <v>1.0</v>
      </c>
      <c r="J138" s="5">
        <f t="shared" si="1"/>
        <v>7</v>
      </c>
      <c r="L138" s="27">
        <v>43293.0</v>
      </c>
      <c r="O138" s="8" t="s">
        <v>75</v>
      </c>
      <c r="R138" s="9">
        <v>0.005555555555555556</v>
      </c>
      <c r="T138" s="8"/>
      <c r="U138" s="8"/>
      <c r="V138" s="8"/>
      <c r="W138" s="8"/>
      <c r="X138" s="8"/>
      <c r="Y138" s="8"/>
      <c r="Z138" s="8"/>
      <c r="AA138" s="8"/>
      <c r="AB138" s="8"/>
      <c r="AC138" s="27"/>
      <c r="AD138" s="7"/>
      <c r="AE138" s="7"/>
      <c r="AF138" s="8"/>
      <c r="AG138" s="8"/>
    </row>
    <row r="139" ht="15.75" customHeight="1">
      <c r="B139" s="39" t="s">
        <v>48</v>
      </c>
      <c r="C139" s="5">
        <v>1.0</v>
      </c>
      <c r="D139" s="5">
        <v>11.0</v>
      </c>
      <c r="E139" s="5">
        <v>1.0</v>
      </c>
      <c r="F139" s="5">
        <v>227.0</v>
      </c>
      <c r="G139" s="5">
        <v>232.0</v>
      </c>
      <c r="H139" s="5">
        <v>2.0</v>
      </c>
      <c r="I139" s="5">
        <v>5.0</v>
      </c>
      <c r="J139" s="5">
        <f t="shared" si="1"/>
        <v>2.27</v>
      </c>
      <c r="K139" s="5" t="s">
        <v>55</v>
      </c>
      <c r="L139" s="27">
        <v>43293.0</v>
      </c>
      <c r="O139" s="8" t="s">
        <v>74</v>
      </c>
      <c r="T139" s="8"/>
      <c r="U139" s="8"/>
      <c r="V139" s="8"/>
      <c r="W139" s="8"/>
      <c r="X139" s="8"/>
      <c r="Y139" s="8"/>
      <c r="Z139" s="8"/>
      <c r="AA139" s="8"/>
      <c r="AB139" s="8"/>
      <c r="AC139" s="27"/>
      <c r="AD139" s="7"/>
      <c r="AE139" s="7"/>
      <c r="AF139" s="8"/>
      <c r="AG139" s="8"/>
    </row>
    <row r="140" ht="15.75" customHeight="1">
      <c r="B140" s="39" t="s">
        <v>48</v>
      </c>
      <c r="C140" s="22">
        <v>1.0</v>
      </c>
      <c r="D140" s="22">
        <v>10.0</v>
      </c>
      <c r="E140" s="22">
        <v>1.0</v>
      </c>
      <c r="F140" s="22">
        <v>645.0</v>
      </c>
      <c r="G140" s="22">
        <v>197.0</v>
      </c>
      <c r="H140" s="22">
        <v>1.0</v>
      </c>
      <c r="I140" s="22">
        <v>5.0</v>
      </c>
      <c r="J140" s="5">
        <f t="shared" si="1"/>
        <v>6.45</v>
      </c>
      <c r="K140" s="22" t="s">
        <v>57</v>
      </c>
      <c r="L140" s="29">
        <v>43293.0</v>
      </c>
      <c r="M140" s="22"/>
      <c r="N140" s="22"/>
      <c r="O140" s="25" t="s">
        <v>74</v>
      </c>
      <c r="P140" s="22"/>
      <c r="R140" s="9">
        <v>0.004166666666666667</v>
      </c>
      <c r="T140" s="8"/>
      <c r="U140" s="8"/>
      <c r="V140" s="8"/>
      <c r="W140" s="8"/>
      <c r="X140" s="8"/>
      <c r="Y140" s="8"/>
      <c r="Z140" s="8"/>
      <c r="AA140" s="8"/>
      <c r="AB140" s="8"/>
      <c r="AC140" s="27"/>
      <c r="AD140" s="7"/>
      <c r="AE140" s="7"/>
      <c r="AF140" s="8"/>
      <c r="AG140" s="8"/>
    </row>
    <row r="141" ht="15.75" customHeight="1">
      <c r="B141" s="39" t="s">
        <v>60</v>
      </c>
      <c r="C141" s="5">
        <v>1.0</v>
      </c>
      <c r="D141" s="5">
        <v>1.0</v>
      </c>
      <c r="E141" s="5">
        <v>1.0</v>
      </c>
      <c r="F141" s="5">
        <v>638.0</v>
      </c>
      <c r="G141" s="5">
        <v>450.0</v>
      </c>
      <c r="H141" s="5">
        <v>2.0</v>
      </c>
      <c r="I141" s="5">
        <v>1.0</v>
      </c>
      <c r="J141" s="5">
        <f t="shared" si="1"/>
        <v>6.38</v>
      </c>
      <c r="L141" s="27">
        <v>43266.0</v>
      </c>
      <c r="O141" s="8" t="s">
        <v>65</v>
      </c>
      <c r="R141" s="9">
        <v>0.005555555555555556</v>
      </c>
      <c r="T141" s="8"/>
      <c r="U141" s="8"/>
      <c r="V141" s="8"/>
      <c r="W141" s="8"/>
      <c r="X141" s="8"/>
      <c r="Y141" s="8"/>
      <c r="Z141" s="8"/>
      <c r="AA141" s="8"/>
      <c r="AB141" s="8"/>
      <c r="AC141" s="27"/>
      <c r="AD141" s="7"/>
      <c r="AE141" s="7"/>
      <c r="AF141" s="8"/>
      <c r="AG141" s="8"/>
    </row>
    <row r="142" ht="15.75" customHeight="1">
      <c r="B142" s="39" t="s">
        <v>60</v>
      </c>
      <c r="C142" s="5">
        <v>1.0</v>
      </c>
      <c r="D142" s="5">
        <v>1.0</v>
      </c>
      <c r="E142" s="5">
        <v>2.0</v>
      </c>
      <c r="F142" s="5">
        <v>140.0</v>
      </c>
      <c r="G142" s="5">
        <v>450.0</v>
      </c>
      <c r="H142" s="5">
        <v>2.0</v>
      </c>
      <c r="I142" s="5">
        <v>1.0</v>
      </c>
      <c r="J142" s="5">
        <f t="shared" si="1"/>
        <v>1.4</v>
      </c>
      <c r="L142" s="27">
        <v>43266.0</v>
      </c>
      <c r="O142" s="8" t="s">
        <v>65</v>
      </c>
      <c r="T142" s="8"/>
      <c r="U142" s="8"/>
      <c r="V142" s="8"/>
      <c r="W142" s="8"/>
      <c r="X142" s="8"/>
      <c r="Y142" s="8"/>
      <c r="Z142" s="8"/>
      <c r="AA142" s="8"/>
      <c r="AB142" s="8"/>
      <c r="AC142" s="27"/>
      <c r="AD142" s="7"/>
      <c r="AE142" s="7"/>
      <c r="AF142" s="8"/>
      <c r="AG142" s="8"/>
    </row>
    <row r="143" ht="15.75" customHeight="1">
      <c r="B143" s="39" t="s">
        <v>60</v>
      </c>
      <c r="C143" s="5">
        <v>1.0</v>
      </c>
      <c r="D143" s="13">
        <v>2.0</v>
      </c>
      <c r="E143" s="5">
        <v>2.0</v>
      </c>
      <c r="F143" s="5">
        <v>310.0</v>
      </c>
      <c r="G143" s="5">
        <v>0.0</v>
      </c>
      <c r="H143" s="5">
        <v>5.0</v>
      </c>
      <c r="I143" s="5">
        <v>1.0</v>
      </c>
      <c r="J143" s="5">
        <f t="shared" si="1"/>
        <v>3.1</v>
      </c>
      <c r="L143" s="27">
        <v>43266.0</v>
      </c>
      <c r="O143" s="8" t="s">
        <v>65</v>
      </c>
      <c r="R143" s="9">
        <v>0.004861111111111111</v>
      </c>
      <c r="T143" s="8"/>
      <c r="U143" s="8"/>
      <c r="V143" s="8"/>
      <c r="W143" s="8"/>
      <c r="X143" s="8"/>
      <c r="Y143" s="8"/>
      <c r="Z143" s="8"/>
      <c r="AA143" s="8"/>
      <c r="AB143" s="8"/>
      <c r="AC143" s="27"/>
      <c r="AD143" s="7"/>
      <c r="AE143" s="7"/>
      <c r="AF143" s="8"/>
      <c r="AG143" s="8"/>
    </row>
    <row r="144" ht="15.75" customHeight="1">
      <c r="B144" s="39" t="s">
        <v>60</v>
      </c>
      <c r="C144" s="5">
        <v>1.0</v>
      </c>
      <c r="D144" s="13">
        <v>2.0</v>
      </c>
      <c r="E144" s="5">
        <v>2.0</v>
      </c>
      <c r="F144" s="5">
        <v>410.0</v>
      </c>
      <c r="G144" s="5">
        <v>0.0</v>
      </c>
      <c r="H144" s="5">
        <v>5.0</v>
      </c>
      <c r="I144" s="5">
        <v>1.0</v>
      </c>
      <c r="J144" s="5">
        <f t="shared" si="1"/>
        <v>4.1</v>
      </c>
      <c r="L144" s="27">
        <v>43266.0</v>
      </c>
      <c r="O144" s="8" t="s">
        <v>65</v>
      </c>
      <c r="T144" s="8"/>
      <c r="U144" s="8"/>
      <c r="V144" s="8"/>
      <c r="W144" s="8"/>
      <c r="X144" s="8"/>
      <c r="Y144" s="8"/>
      <c r="Z144" s="8"/>
      <c r="AA144" s="8"/>
      <c r="AB144" s="8"/>
      <c r="AC144" s="27"/>
      <c r="AD144" s="7"/>
      <c r="AE144" s="7"/>
      <c r="AF144" s="8"/>
      <c r="AG144" s="8"/>
    </row>
    <row r="145" ht="15.75" customHeight="1">
      <c r="B145" s="39"/>
      <c r="D145" s="13">
        <v>3.0</v>
      </c>
      <c r="J145" s="5">
        <f t="shared" si="1"/>
        <v>0</v>
      </c>
      <c r="L145" s="27">
        <v>43266.0</v>
      </c>
      <c r="O145" s="8" t="s">
        <v>65</v>
      </c>
      <c r="R145" s="9">
        <v>0.004166666666666667</v>
      </c>
      <c r="T145" s="8"/>
      <c r="U145" s="8"/>
      <c r="V145" s="8"/>
      <c r="W145" s="8"/>
      <c r="X145" s="8"/>
      <c r="Y145" s="8"/>
      <c r="Z145" s="8"/>
      <c r="AA145" s="8"/>
      <c r="AB145" s="8"/>
      <c r="AC145" s="27"/>
      <c r="AD145" s="7"/>
      <c r="AE145" s="7"/>
      <c r="AF145" s="8"/>
      <c r="AG145" s="8"/>
    </row>
    <row r="146" ht="15.75" customHeight="1">
      <c r="B146" s="39"/>
      <c r="D146" s="13">
        <v>4.0</v>
      </c>
      <c r="J146" s="5">
        <f t="shared" si="1"/>
        <v>0</v>
      </c>
      <c r="L146" s="27">
        <v>43266.0</v>
      </c>
      <c r="O146" s="8" t="s">
        <v>65</v>
      </c>
      <c r="R146" s="9">
        <v>0.004166666666666667</v>
      </c>
      <c r="T146" s="8"/>
      <c r="U146" s="8"/>
      <c r="V146" s="8"/>
      <c r="W146" s="8"/>
      <c r="X146" s="8"/>
      <c r="Y146" s="8"/>
      <c r="Z146" s="8"/>
      <c r="AA146" s="8"/>
      <c r="AB146" s="8"/>
      <c r="AC146" s="27"/>
      <c r="AD146" s="7"/>
      <c r="AE146" s="7"/>
      <c r="AF146" s="8"/>
      <c r="AG146" s="8"/>
    </row>
    <row r="147" ht="15.75" customHeight="1">
      <c r="B147" s="39" t="s">
        <v>60</v>
      </c>
      <c r="C147" s="5">
        <v>1.0</v>
      </c>
      <c r="D147" s="5">
        <v>6.0</v>
      </c>
      <c r="E147" s="5">
        <v>2.0</v>
      </c>
      <c r="F147" s="5">
        <v>317.0</v>
      </c>
      <c r="G147" s="5">
        <v>137.0</v>
      </c>
      <c r="H147" s="5">
        <v>2.0</v>
      </c>
      <c r="I147" s="5">
        <v>5.0</v>
      </c>
      <c r="J147" s="5">
        <f t="shared" si="1"/>
        <v>3.17</v>
      </c>
      <c r="L147" s="27">
        <v>43266.0</v>
      </c>
      <c r="O147" s="8" t="s">
        <v>65</v>
      </c>
      <c r="T147" s="8"/>
      <c r="U147" s="8"/>
      <c r="V147" s="8"/>
      <c r="W147" s="8"/>
      <c r="X147" s="8"/>
      <c r="Y147" s="8"/>
      <c r="Z147" s="8"/>
      <c r="AA147" s="8"/>
      <c r="AB147" s="8"/>
      <c r="AC147" s="27"/>
      <c r="AD147" s="7"/>
      <c r="AE147" s="7"/>
      <c r="AF147" s="8"/>
      <c r="AG147" s="8"/>
    </row>
    <row r="148" ht="15.75" customHeight="1">
      <c r="B148" s="39"/>
      <c r="D148" s="5">
        <v>5.0</v>
      </c>
      <c r="J148" s="5">
        <f t="shared" si="1"/>
        <v>0</v>
      </c>
      <c r="L148" s="27">
        <v>43266.0</v>
      </c>
      <c r="O148" s="8" t="s">
        <v>65</v>
      </c>
      <c r="R148" s="9">
        <v>0.002777777777777778</v>
      </c>
      <c r="T148" s="8"/>
      <c r="U148" s="8"/>
      <c r="V148" s="8"/>
      <c r="W148" s="8"/>
      <c r="X148" s="8"/>
      <c r="Y148" s="8"/>
      <c r="Z148" s="8"/>
      <c r="AA148" s="8"/>
      <c r="AB148" s="8"/>
      <c r="AC148" s="27"/>
      <c r="AD148" s="7"/>
      <c r="AE148" s="7"/>
      <c r="AF148" s="8"/>
      <c r="AG148" s="8"/>
    </row>
    <row r="149" ht="15.75" customHeight="1">
      <c r="B149" s="39"/>
      <c r="D149" s="13">
        <v>7.0</v>
      </c>
      <c r="J149" s="5">
        <f t="shared" si="1"/>
        <v>0</v>
      </c>
      <c r="L149" s="27">
        <v>43266.0</v>
      </c>
      <c r="O149" s="8" t="s">
        <v>65</v>
      </c>
      <c r="R149" s="9">
        <v>0.004166666666666667</v>
      </c>
      <c r="T149" s="8"/>
      <c r="U149" s="8"/>
      <c r="V149" s="8"/>
      <c r="W149" s="8"/>
      <c r="X149" s="8"/>
      <c r="Y149" s="8"/>
      <c r="Z149" s="8"/>
      <c r="AA149" s="8"/>
      <c r="AB149" s="8"/>
      <c r="AC149" s="27"/>
      <c r="AD149" s="7"/>
      <c r="AE149" s="7"/>
      <c r="AF149" s="8"/>
      <c r="AG149" s="8"/>
    </row>
    <row r="150" ht="15.75" customHeight="1">
      <c r="B150" s="39"/>
      <c r="D150" s="13">
        <v>8.0</v>
      </c>
      <c r="J150" s="5">
        <f t="shared" si="1"/>
        <v>0</v>
      </c>
      <c r="L150" s="27">
        <v>43266.0</v>
      </c>
      <c r="O150" s="8" t="s">
        <v>65</v>
      </c>
      <c r="R150" s="9">
        <v>0.004166666666666667</v>
      </c>
      <c r="T150" s="8"/>
      <c r="U150" s="8"/>
      <c r="V150" s="8"/>
      <c r="W150" s="8"/>
      <c r="X150" s="8"/>
      <c r="Y150" s="8"/>
      <c r="Z150" s="8"/>
      <c r="AA150" s="8"/>
      <c r="AB150" s="8"/>
      <c r="AC150" s="27"/>
      <c r="AD150" s="7"/>
      <c r="AE150" s="7"/>
      <c r="AF150" s="8"/>
      <c r="AG150" s="8"/>
    </row>
    <row r="151" ht="15.75" customHeight="1">
      <c r="B151" s="39"/>
      <c r="D151" s="13">
        <v>9.0</v>
      </c>
      <c r="J151" s="5">
        <f t="shared" si="1"/>
        <v>0</v>
      </c>
      <c r="L151" s="27">
        <v>43266.0</v>
      </c>
      <c r="O151" s="8" t="s">
        <v>65</v>
      </c>
      <c r="P151" s="5" t="s">
        <v>59</v>
      </c>
      <c r="R151" s="9">
        <v>0.0062499999999999995</v>
      </c>
      <c r="T151" s="8"/>
      <c r="U151" s="8"/>
      <c r="V151" s="8"/>
      <c r="W151" s="8"/>
      <c r="X151" s="8"/>
      <c r="Y151" s="8"/>
      <c r="Z151" s="8"/>
      <c r="AA151" s="8"/>
      <c r="AB151" s="8"/>
      <c r="AC151" s="27"/>
      <c r="AD151" s="7"/>
      <c r="AE151" s="7"/>
      <c r="AF151" s="8"/>
      <c r="AG151" s="8"/>
    </row>
    <row r="152" ht="15.75" customHeight="1">
      <c r="B152" s="39"/>
      <c r="D152" s="5">
        <v>10.0</v>
      </c>
      <c r="J152" s="5">
        <f t="shared" si="1"/>
        <v>0</v>
      </c>
      <c r="L152" s="27">
        <v>43266.0</v>
      </c>
      <c r="O152" s="8" t="s">
        <v>65</v>
      </c>
      <c r="P152" s="5" t="s">
        <v>59</v>
      </c>
      <c r="R152" s="9">
        <v>0.003472222222222222</v>
      </c>
      <c r="T152" s="8"/>
      <c r="U152" s="8"/>
      <c r="V152" s="8"/>
      <c r="W152" s="8"/>
      <c r="X152" s="8"/>
      <c r="Y152" s="8"/>
      <c r="Z152" s="8"/>
      <c r="AA152" s="8"/>
      <c r="AB152" s="8"/>
      <c r="AC152" s="27"/>
      <c r="AD152" s="7"/>
      <c r="AE152" s="7"/>
      <c r="AF152" s="8"/>
      <c r="AG152" s="8"/>
    </row>
    <row r="153" ht="15.75" customHeight="1">
      <c r="B153" s="39"/>
      <c r="D153" s="5">
        <v>11.0</v>
      </c>
      <c r="J153" s="5">
        <f t="shared" si="1"/>
        <v>0</v>
      </c>
      <c r="L153" s="27">
        <v>43266.0</v>
      </c>
      <c r="O153" s="8" t="s">
        <v>65</v>
      </c>
      <c r="P153" s="5" t="s">
        <v>59</v>
      </c>
      <c r="R153" s="9">
        <v>0.002777777777777778</v>
      </c>
      <c r="T153" s="8"/>
      <c r="U153" s="8"/>
      <c r="V153" s="8"/>
      <c r="W153" s="8"/>
      <c r="X153" s="8"/>
      <c r="Y153" s="8"/>
      <c r="Z153" s="8"/>
      <c r="AA153" s="8"/>
      <c r="AB153" s="8"/>
      <c r="AC153" s="27"/>
      <c r="AD153" s="7"/>
      <c r="AE153" s="7"/>
      <c r="AF153" s="8"/>
      <c r="AG153" s="8"/>
    </row>
    <row r="154" ht="15.75" customHeight="1">
      <c r="B154" s="42" t="s">
        <v>60</v>
      </c>
      <c r="C154" s="22">
        <v>1.0</v>
      </c>
      <c r="D154" s="22">
        <v>12.0</v>
      </c>
      <c r="E154" s="22">
        <v>2.0</v>
      </c>
      <c r="F154" s="22">
        <v>466.0</v>
      </c>
      <c r="G154" s="22">
        <v>0.0</v>
      </c>
      <c r="H154" s="22">
        <v>5.0</v>
      </c>
      <c r="I154" s="22">
        <v>1.0</v>
      </c>
      <c r="J154" s="5">
        <f t="shared" si="1"/>
        <v>4.66</v>
      </c>
      <c r="K154" s="22"/>
      <c r="L154" s="29">
        <v>43266.0</v>
      </c>
      <c r="M154" s="22"/>
      <c r="N154" s="22"/>
      <c r="O154" s="25" t="s">
        <v>65</v>
      </c>
      <c r="P154" s="22"/>
      <c r="R154" s="9">
        <v>0.0020833333333333333</v>
      </c>
      <c r="T154" s="8"/>
      <c r="U154" s="8"/>
      <c r="V154" s="8"/>
      <c r="W154" s="8"/>
      <c r="X154" s="8"/>
      <c r="Y154" s="8"/>
      <c r="Z154" s="8"/>
      <c r="AA154" s="8"/>
      <c r="AB154" s="8"/>
      <c r="AC154" s="27"/>
      <c r="AD154" s="7"/>
      <c r="AE154" s="7"/>
      <c r="AF154" s="8"/>
      <c r="AG154" s="8"/>
    </row>
    <row r="155" ht="15.75" customHeight="1">
      <c r="B155" s="42" t="s">
        <v>60</v>
      </c>
      <c r="C155" s="5">
        <v>1.0</v>
      </c>
      <c r="D155" s="5">
        <v>1.0</v>
      </c>
      <c r="E155" s="5">
        <v>2.0</v>
      </c>
      <c r="F155" s="5">
        <v>303.0</v>
      </c>
      <c r="G155" s="5">
        <v>30.0</v>
      </c>
      <c r="H155" s="5">
        <v>2.0</v>
      </c>
      <c r="I155" s="5">
        <v>1.0</v>
      </c>
      <c r="J155" s="5">
        <f t="shared" si="1"/>
        <v>3.03</v>
      </c>
      <c r="L155" s="34">
        <v>43293.0</v>
      </c>
      <c r="O155" s="8" t="s">
        <v>74</v>
      </c>
      <c r="R155" s="9">
        <v>0.0062499999999999995</v>
      </c>
      <c r="T155" s="8"/>
      <c r="U155" s="8"/>
      <c r="V155" s="8"/>
      <c r="W155" s="8"/>
      <c r="X155" s="8"/>
      <c r="Y155" s="8"/>
      <c r="Z155" s="8"/>
      <c r="AA155" s="8"/>
      <c r="AB155" s="8"/>
      <c r="AC155" s="27"/>
      <c r="AD155" s="7"/>
      <c r="AE155" s="7"/>
      <c r="AF155" s="8"/>
      <c r="AG155" s="8"/>
    </row>
    <row r="156" ht="15.75" customHeight="1">
      <c r="B156" s="42" t="s">
        <v>60</v>
      </c>
      <c r="C156" s="5">
        <v>1.0</v>
      </c>
      <c r="D156" s="5">
        <v>1.0</v>
      </c>
      <c r="E156" s="5">
        <v>2.0</v>
      </c>
      <c r="F156" s="5">
        <v>293.0</v>
      </c>
      <c r="G156" s="5">
        <v>340.0</v>
      </c>
      <c r="H156" s="5">
        <v>2.0</v>
      </c>
      <c r="I156" s="5">
        <v>1.0</v>
      </c>
      <c r="J156" s="5">
        <f t="shared" si="1"/>
        <v>2.93</v>
      </c>
      <c r="L156" s="34">
        <v>43293.0</v>
      </c>
      <c r="O156" s="8" t="s">
        <v>74</v>
      </c>
      <c r="T156" s="8"/>
      <c r="U156" s="8"/>
      <c r="V156" s="8"/>
      <c r="W156" s="8"/>
      <c r="X156" s="8"/>
      <c r="Y156" s="8"/>
      <c r="Z156" s="8"/>
      <c r="AA156" s="8"/>
      <c r="AB156" s="8"/>
      <c r="AC156" s="27"/>
      <c r="AD156" s="7"/>
      <c r="AE156" s="7"/>
      <c r="AF156" s="8"/>
      <c r="AG156" s="8"/>
    </row>
    <row r="157" ht="15.75" customHeight="1">
      <c r="B157" s="42" t="s">
        <v>60</v>
      </c>
      <c r="C157" s="5">
        <v>1.0</v>
      </c>
      <c r="D157" s="5">
        <v>1.0</v>
      </c>
      <c r="E157" s="5">
        <v>2.0</v>
      </c>
      <c r="F157" s="5">
        <v>293.0</v>
      </c>
      <c r="G157" s="5">
        <v>353.0</v>
      </c>
      <c r="H157" s="5">
        <v>2.0</v>
      </c>
      <c r="I157" s="5">
        <v>1.0</v>
      </c>
      <c r="J157" s="5">
        <f t="shared" si="1"/>
        <v>2.93</v>
      </c>
      <c r="L157" s="34">
        <v>43293.0</v>
      </c>
      <c r="O157" s="8" t="s">
        <v>74</v>
      </c>
      <c r="T157" s="8"/>
      <c r="U157" s="8"/>
      <c r="V157" s="8"/>
      <c r="W157" s="8"/>
      <c r="X157" s="8"/>
      <c r="Y157" s="8"/>
      <c r="Z157" s="8"/>
      <c r="AA157" s="8"/>
      <c r="AB157" s="8"/>
      <c r="AC157" s="27"/>
      <c r="AD157" s="7"/>
      <c r="AE157" s="7"/>
      <c r="AF157" s="8"/>
      <c r="AG157" s="8"/>
    </row>
    <row r="158" ht="15.75" customHeight="1">
      <c r="B158" s="42" t="s">
        <v>60</v>
      </c>
      <c r="C158" s="5">
        <v>1.0</v>
      </c>
      <c r="D158" s="13">
        <v>2.0</v>
      </c>
      <c r="E158" s="5">
        <v>2.0</v>
      </c>
      <c r="F158" s="5">
        <v>588.0</v>
      </c>
      <c r="G158" s="5">
        <v>0.0</v>
      </c>
      <c r="H158" s="5">
        <v>5.0</v>
      </c>
      <c r="I158" s="5">
        <v>1.0</v>
      </c>
      <c r="J158" s="5">
        <f t="shared" si="1"/>
        <v>5.88</v>
      </c>
      <c r="L158" s="27">
        <v>43293.0</v>
      </c>
      <c r="O158" s="8" t="s">
        <v>75</v>
      </c>
      <c r="R158" s="9">
        <v>0.004861111111111111</v>
      </c>
      <c r="T158" s="8"/>
      <c r="U158" s="8"/>
      <c r="V158" s="8"/>
      <c r="W158" s="8"/>
      <c r="X158" s="8"/>
      <c r="Y158" s="8"/>
      <c r="Z158" s="8"/>
      <c r="AA158" s="8"/>
      <c r="AB158" s="8"/>
      <c r="AC158" s="27"/>
      <c r="AD158" s="7"/>
      <c r="AE158" s="7"/>
      <c r="AF158" s="8"/>
      <c r="AG158" s="8"/>
    </row>
    <row r="159" ht="15.75" customHeight="1">
      <c r="B159" s="39"/>
      <c r="D159" s="13">
        <v>3.0</v>
      </c>
      <c r="J159" s="5">
        <f t="shared" si="1"/>
        <v>0</v>
      </c>
      <c r="L159" s="27">
        <v>43293.0</v>
      </c>
      <c r="O159" s="8" t="s">
        <v>74</v>
      </c>
      <c r="R159" s="9">
        <v>0.0062499999999999995</v>
      </c>
      <c r="T159" s="8"/>
      <c r="U159" s="8"/>
      <c r="V159" s="8"/>
      <c r="W159" s="8"/>
      <c r="X159" s="8"/>
      <c r="Y159" s="8"/>
      <c r="Z159" s="8"/>
      <c r="AA159" s="8"/>
      <c r="AB159" s="8"/>
      <c r="AC159" s="27"/>
      <c r="AD159" s="7"/>
      <c r="AE159" s="7"/>
      <c r="AF159" s="8"/>
      <c r="AG159" s="8"/>
    </row>
    <row r="160" ht="15.75" customHeight="1">
      <c r="B160" s="39"/>
      <c r="D160" s="13">
        <v>4.0</v>
      </c>
      <c r="J160" s="5">
        <f t="shared" si="1"/>
        <v>0</v>
      </c>
      <c r="L160" s="27">
        <v>43293.0</v>
      </c>
      <c r="O160" s="8" t="s">
        <v>74</v>
      </c>
      <c r="R160" s="9">
        <v>0.004861111111111111</v>
      </c>
      <c r="T160" s="8"/>
      <c r="U160" s="8"/>
      <c r="V160" s="8"/>
      <c r="W160" s="8"/>
      <c r="X160" s="8"/>
      <c r="Y160" s="8"/>
      <c r="Z160" s="8"/>
      <c r="AA160" s="8"/>
      <c r="AB160" s="8"/>
      <c r="AC160" s="27"/>
      <c r="AD160" s="7"/>
      <c r="AE160" s="7"/>
      <c r="AF160" s="8"/>
      <c r="AG160" s="8"/>
    </row>
    <row r="161" ht="15.75" customHeight="1">
      <c r="B161" s="39" t="s">
        <v>60</v>
      </c>
      <c r="C161" s="5">
        <v>1.0</v>
      </c>
      <c r="D161" s="5">
        <v>5.0</v>
      </c>
      <c r="E161" s="5">
        <v>2.0</v>
      </c>
      <c r="F161" s="5">
        <v>380.0</v>
      </c>
      <c r="G161" s="5">
        <v>60.0</v>
      </c>
      <c r="H161" s="5">
        <v>2.0</v>
      </c>
      <c r="I161" s="5">
        <v>1.0</v>
      </c>
      <c r="J161" s="5">
        <f t="shared" si="1"/>
        <v>3.8</v>
      </c>
      <c r="L161" s="27">
        <v>43293.0</v>
      </c>
      <c r="O161" s="8" t="s">
        <v>74</v>
      </c>
      <c r="T161" s="8"/>
      <c r="U161" s="8"/>
      <c r="V161" s="8"/>
      <c r="W161" s="8"/>
      <c r="X161" s="8"/>
      <c r="Y161" s="8"/>
      <c r="Z161" s="8"/>
      <c r="AA161" s="8"/>
      <c r="AB161" s="8"/>
      <c r="AC161" s="27"/>
      <c r="AD161" s="7"/>
      <c r="AE161" s="7"/>
      <c r="AF161" s="8"/>
      <c r="AG161" s="8"/>
    </row>
    <row r="162" ht="15.75" customHeight="1">
      <c r="B162" s="39" t="s">
        <v>60</v>
      </c>
      <c r="C162" s="5">
        <v>1.0</v>
      </c>
      <c r="D162" s="5">
        <v>5.0</v>
      </c>
      <c r="E162" s="5">
        <v>3.0</v>
      </c>
      <c r="F162" s="5">
        <v>447.0</v>
      </c>
      <c r="G162" s="5">
        <v>80.0</v>
      </c>
      <c r="H162" s="5">
        <v>2.0</v>
      </c>
      <c r="I162" s="5">
        <v>1.0</v>
      </c>
      <c r="J162" s="5">
        <f t="shared" si="1"/>
        <v>4.47</v>
      </c>
      <c r="L162" s="27">
        <v>43293.0</v>
      </c>
      <c r="O162" s="8" t="s">
        <v>74</v>
      </c>
      <c r="T162" s="8"/>
      <c r="U162" s="8"/>
      <c r="V162" s="8"/>
      <c r="W162" s="8"/>
      <c r="X162" s="8"/>
      <c r="Y162" s="8"/>
      <c r="Z162" s="8"/>
      <c r="AA162" s="8"/>
      <c r="AB162" s="8"/>
      <c r="AC162" s="27"/>
      <c r="AD162" s="7"/>
      <c r="AE162" s="7"/>
      <c r="AF162" s="8"/>
      <c r="AG162" s="8"/>
    </row>
    <row r="163" ht="15.75" customHeight="1">
      <c r="B163" s="39" t="s">
        <v>60</v>
      </c>
      <c r="C163" s="5">
        <v>1.0</v>
      </c>
      <c r="D163" s="5">
        <v>5.0</v>
      </c>
      <c r="E163" s="5">
        <v>2.0</v>
      </c>
      <c r="F163" s="5">
        <v>210.0</v>
      </c>
      <c r="G163" s="5">
        <v>115.0</v>
      </c>
      <c r="H163" s="5">
        <v>2.0</v>
      </c>
      <c r="I163" s="5">
        <v>1.0</v>
      </c>
      <c r="J163" s="5">
        <f t="shared" si="1"/>
        <v>2.1</v>
      </c>
      <c r="L163" s="27">
        <v>43293.0</v>
      </c>
      <c r="O163" s="8" t="s">
        <v>74</v>
      </c>
      <c r="T163" s="8"/>
      <c r="U163" s="8"/>
      <c r="V163" s="8"/>
      <c r="W163" s="8"/>
      <c r="X163" s="8"/>
      <c r="Y163" s="8"/>
      <c r="Z163" s="8"/>
      <c r="AA163" s="8"/>
      <c r="AB163" s="8"/>
      <c r="AC163" s="27"/>
      <c r="AD163" s="7"/>
      <c r="AE163" s="7"/>
      <c r="AF163" s="8"/>
      <c r="AG163" s="8"/>
    </row>
    <row r="164" ht="15.75" customHeight="1">
      <c r="B164" s="39" t="s">
        <v>60</v>
      </c>
      <c r="C164" s="5">
        <v>1.0</v>
      </c>
      <c r="D164" s="5">
        <v>5.0</v>
      </c>
      <c r="E164" s="5">
        <v>2.0</v>
      </c>
      <c r="F164" s="5">
        <v>426.0</v>
      </c>
      <c r="G164" s="5">
        <v>122.0</v>
      </c>
      <c r="H164" s="5">
        <v>2.0</v>
      </c>
      <c r="I164" s="5">
        <v>1.0</v>
      </c>
      <c r="J164" s="5">
        <f t="shared" si="1"/>
        <v>4.26</v>
      </c>
      <c r="L164" s="27">
        <v>43293.0</v>
      </c>
      <c r="O164" s="8" t="s">
        <v>74</v>
      </c>
      <c r="T164" s="8"/>
      <c r="U164" s="8"/>
      <c r="V164" s="8"/>
      <c r="W164" s="8"/>
      <c r="X164" s="8"/>
      <c r="Y164" s="8"/>
      <c r="Z164" s="8"/>
      <c r="AA164" s="8"/>
      <c r="AB164" s="8"/>
      <c r="AC164" s="27"/>
      <c r="AD164" s="7"/>
      <c r="AE164" s="7"/>
      <c r="AF164" s="8"/>
      <c r="AG164" s="8"/>
    </row>
    <row r="165" ht="15.75" customHeight="1">
      <c r="B165" s="39" t="s">
        <v>60</v>
      </c>
      <c r="C165" s="5">
        <v>1.0</v>
      </c>
      <c r="D165" s="5">
        <v>6.0</v>
      </c>
      <c r="E165" s="5">
        <v>2.0</v>
      </c>
      <c r="F165" s="5">
        <v>597.0</v>
      </c>
      <c r="G165" s="5">
        <v>0.0</v>
      </c>
      <c r="H165" s="5">
        <v>5.0</v>
      </c>
      <c r="I165" s="5">
        <v>1.0</v>
      </c>
      <c r="J165" s="5">
        <f t="shared" si="1"/>
        <v>5.97</v>
      </c>
      <c r="L165" s="27">
        <v>43293.0</v>
      </c>
      <c r="O165" s="8" t="s">
        <v>74</v>
      </c>
      <c r="R165" s="9">
        <v>0.003472222222222222</v>
      </c>
      <c r="T165" s="8"/>
      <c r="U165" s="8"/>
      <c r="V165" s="8"/>
      <c r="W165" s="8"/>
      <c r="X165" s="8"/>
      <c r="Y165" s="8"/>
      <c r="Z165" s="8"/>
      <c r="AA165" s="8"/>
      <c r="AB165" s="8"/>
      <c r="AC165" s="27"/>
      <c r="AD165" s="7"/>
      <c r="AE165" s="7"/>
      <c r="AF165" s="8"/>
      <c r="AG165" s="8"/>
    </row>
    <row r="166" ht="15.75" customHeight="1">
      <c r="B166" s="39" t="s">
        <v>60</v>
      </c>
      <c r="C166" s="5">
        <v>1.0</v>
      </c>
      <c r="D166" s="13">
        <v>7.0</v>
      </c>
      <c r="E166" s="5">
        <v>2.0</v>
      </c>
      <c r="F166" s="5">
        <v>226.0</v>
      </c>
      <c r="G166" s="5">
        <v>0.0</v>
      </c>
      <c r="H166" s="5">
        <v>5.0</v>
      </c>
      <c r="I166" s="5">
        <v>5.0</v>
      </c>
      <c r="J166" s="5">
        <f t="shared" si="1"/>
        <v>2.26</v>
      </c>
      <c r="L166" s="27">
        <v>43293.0</v>
      </c>
      <c r="O166" s="8" t="s">
        <v>74</v>
      </c>
      <c r="R166" s="9">
        <v>0.004166666666666667</v>
      </c>
      <c r="T166" s="8"/>
      <c r="U166" s="8"/>
      <c r="V166" s="8"/>
      <c r="W166" s="8"/>
      <c r="X166" s="8"/>
      <c r="Y166" s="8"/>
      <c r="Z166" s="8"/>
      <c r="AA166" s="8"/>
      <c r="AB166" s="8"/>
      <c r="AC166" s="27"/>
      <c r="AD166" s="7"/>
      <c r="AE166" s="7"/>
      <c r="AF166" s="8"/>
      <c r="AG166" s="8"/>
    </row>
    <row r="167" ht="15.75" customHeight="1">
      <c r="B167" s="39" t="s">
        <v>60</v>
      </c>
      <c r="C167" s="5">
        <v>1.0</v>
      </c>
      <c r="D167" s="13">
        <v>9.0</v>
      </c>
      <c r="E167" s="5">
        <v>1.0</v>
      </c>
      <c r="F167" s="5">
        <v>614.0</v>
      </c>
      <c r="G167" s="5">
        <v>70.0</v>
      </c>
      <c r="H167" s="5">
        <v>5.0</v>
      </c>
      <c r="I167" s="5">
        <v>1.0</v>
      </c>
      <c r="J167" s="5">
        <f t="shared" si="1"/>
        <v>6.14</v>
      </c>
      <c r="L167" s="27">
        <v>43293.0</v>
      </c>
      <c r="O167" s="8" t="s">
        <v>74</v>
      </c>
      <c r="R167" s="9">
        <v>0.010416666666666666</v>
      </c>
      <c r="T167" s="8"/>
      <c r="U167" s="8"/>
      <c r="V167" s="8"/>
      <c r="W167" s="8"/>
      <c r="X167" s="8"/>
      <c r="Y167" s="8"/>
      <c r="Z167" s="8"/>
      <c r="AA167" s="8"/>
      <c r="AB167" s="8"/>
      <c r="AC167" s="27"/>
      <c r="AD167" s="7"/>
      <c r="AE167" s="7"/>
      <c r="AF167" s="8"/>
      <c r="AG167" s="8"/>
    </row>
    <row r="168" ht="15.75" customHeight="1">
      <c r="B168" s="39" t="s">
        <v>60</v>
      </c>
      <c r="C168" s="5">
        <v>1.0</v>
      </c>
      <c r="D168" s="13">
        <v>9.0</v>
      </c>
      <c r="E168" s="5">
        <v>1.0</v>
      </c>
      <c r="F168" s="5">
        <v>624.0</v>
      </c>
      <c r="G168" s="5">
        <v>150.0</v>
      </c>
      <c r="H168" s="5">
        <v>5.0</v>
      </c>
      <c r="I168" s="5">
        <v>1.0</v>
      </c>
      <c r="J168" s="5">
        <f t="shared" si="1"/>
        <v>6.24</v>
      </c>
      <c r="L168" s="27">
        <v>43293.0</v>
      </c>
      <c r="O168" s="8" t="s">
        <v>74</v>
      </c>
      <c r="T168" s="8"/>
      <c r="U168" s="8"/>
      <c r="V168" s="8"/>
      <c r="W168" s="8"/>
      <c r="X168" s="8"/>
      <c r="Y168" s="8"/>
      <c r="Z168" s="8"/>
      <c r="AA168" s="8"/>
      <c r="AB168" s="8"/>
      <c r="AC168" s="27"/>
      <c r="AD168" s="7"/>
      <c r="AE168" s="7"/>
      <c r="AF168" s="8"/>
      <c r="AG168" s="8"/>
    </row>
    <row r="169" ht="15.75" customHeight="1">
      <c r="B169" s="39" t="s">
        <v>60</v>
      </c>
      <c r="C169" s="5">
        <v>1.0</v>
      </c>
      <c r="D169" s="13">
        <v>9.0</v>
      </c>
      <c r="E169" s="5">
        <v>1.0</v>
      </c>
      <c r="F169" s="5">
        <v>1460.0</v>
      </c>
      <c r="G169" s="5">
        <v>250.0</v>
      </c>
      <c r="H169" s="5">
        <v>2.0</v>
      </c>
      <c r="I169" s="5">
        <v>1.0</v>
      </c>
      <c r="J169" s="5">
        <f t="shared" si="1"/>
        <v>14.6</v>
      </c>
      <c r="K169" s="5" t="s">
        <v>55</v>
      </c>
      <c r="L169" s="27">
        <v>43293.0</v>
      </c>
      <c r="O169" s="8" t="s">
        <v>74</v>
      </c>
      <c r="T169" s="8"/>
      <c r="U169" s="8"/>
      <c r="V169" s="8"/>
      <c r="W169" s="8"/>
      <c r="X169" s="8"/>
      <c r="Y169" s="8"/>
      <c r="Z169" s="8"/>
      <c r="AA169" s="8"/>
      <c r="AB169" s="8"/>
      <c r="AC169" s="27"/>
      <c r="AD169" s="7"/>
      <c r="AE169" s="7"/>
      <c r="AF169" s="8"/>
      <c r="AG169" s="8"/>
    </row>
    <row r="170" ht="15.75" customHeight="1">
      <c r="B170" s="39" t="s">
        <v>60</v>
      </c>
      <c r="C170" s="5">
        <v>1.0</v>
      </c>
      <c r="D170" s="5">
        <v>11.0</v>
      </c>
      <c r="E170" s="5">
        <v>1.0</v>
      </c>
      <c r="F170" s="5">
        <v>613.0</v>
      </c>
      <c r="G170" s="5">
        <v>180.0</v>
      </c>
      <c r="H170" s="5">
        <v>2.0</v>
      </c>
      <c r="I170" s="5">
        <v>2.0</v>
      </c>
      <c r="J170" s="5">
        <f t="shared" si="1"/>
        <v>6.13</v>
      </c>
      <c r="L170" s="27">
        <v>43293.0</v>
      </c>
      <c r="O170" s="8" t="s">
        <v>74</v>
      </c>
      <c r="R170" s="9">
        <v>0.003472222222222222</v>
      </c>
      <c r="T170" s="8"/>
      <c r="U170" s="8"/>
      <c r="V170" s="8"/>
      <c r="W170" s="8"/>
      <c r="X170" s="8"/>
      <c r="Y170" s="8"/>
      <c r="Z170" s="8"/>
      <c r="AA170" s="8"/>
      <c r="AB170" s="8"/>
      <c r="AC170" s="27"/>
      <c r="AD170" s="7"/>
      <c r="AE170" s="7"/>
      <c r="AF170" s="8"/>
      <c r="AG170" s="8"/>
    </row>
    <row r="171" ht="15.75" customHeight="1">
      <c r="B171" s="42"/>
      <c r="C171" s="22"/>
      <c r="D171" s="22">
        <v>12.0</v>
      </c>
      <c r="E171" s="22"/>
      <c r="F171" s="22"/>
      <c r="G171" s="22"/>
      <c r="H171" s="22"/>
      <c r="I171" s="22"/>
      <c r="J171" s="5">
        <f t="shared" si="1"/>
        <v>0</v>
      </c>
      <c r="K171" s="22"/>
      <c r="L171" s="29">
        <v>43293.0</v>
      </c>
      <c r="M171" s="22"/>
      <c r="N171" s="22"/>
      <c r="O171" s="25" t="s">
        <v>74</v>
      </c>
      <c r="P171" s="22"/>
      <c r="R171" s="9">
        <v>0.003472222222222222</v>
      </c>
      <c r="T171" s="8"/>
      <c r="U171" s="8"/>
      <c r="V171" s="8"/>
      <c r="W171" s="8"/>
      <c r="X171" s="8"/>
      <c r="Y171" s="8"/>
      <c r="Z171" s="8"/>
      <c r="AA171" s="8"/>
      <c r="AB171" s="8"/>
      <c r="AC171" s="27"/>
      <c r="AD171" s="7"/>
      <c r="AE171" s="7"/>
      <c r="AF171" s="8"/>
      <c r="AG171" s="8"/>
    </row>
    <row r="172" ht="15.75" customHeight="1">
      <c r="B172" s="44" t="s">
        <v>60</v>
      </c>
      <c r="C172" s="8">
        <v>1.0</v>
      </c>
      <c r="D172" s="38">
        <v>2.0</v>
      </c>
      <c r="E172" s="8">
        <v>2.0</v>
      </c>
      <c r="F172" s="8">
        <v>317.0</v>
      </c>
      <c r="G172" s="8">
        <v>320.0</v>
      </c>
      <c r="H172" s="8">
        <v>2.0</v>
      </c>
      <c r="I172" s="8">
        <v>1.0</v>
      </c>
      <c r="J172" s="5">
        <f t="shared" si="1"/>
        <v>3.17</v>
      </c>
      <c r="K172" s="8"/>
      <c r="L172" s="41">
        <v>43318.0</v>
      </c>
      <c r="M172" s="7"/>
      <c r="N172" s="7"/>
      <c r="O172" s="8" t="s">
        <v>25</v>
      </c>
      <c r="P172" s="8"/>
      <c r="T172" s="8"/>
      <c r="U172" s="8"/>
      <c r="V172" s="8"/>
      <c r="W172" s="8"/>
      <c r="X172" s="8"/>
      <c r="Y172" s="8"/>
      <c r="Z172" s="8"/>
      <c r="AA172" s="8"/>
      <c r="AB172" s="8"/>
      <c r="AC172" s="27"/>
      <c r="AD172" s="7"/>
      <c r="AE172" s="7"/>
      <c r="AF172" s="8"/>
      <c r="AG172" s="8"/>
    </row>
    <row r="173" ht="15.75" customHeight="1">
      <c r="B173" s="44" t="s">
        <v>60</v>
      </c>
      <c r="C173" s="8">
        <v>1.0</v>
      </c>
      <c r="D173" s="38">
        <v>2.0</v>
      </c>
      <c r="E173" s="8">
        <v>2.0</v>
      </c>
      <c r="F173" s="8">
        <v>510.0</v>
      </c>
      <c r="G173" s="8">
        <v>320.0</v>
      </c>
      <c r="H173" s="8">
        <v>2.0</v>
      </c>
      <c r="I173" s="8">
        <v>1.0</v>
      </c>
      <c r="J173" s="5">
        <f t="shared" si="1"/>
        <v>5.1</v>
      </c>
      <c r="K173" s="8" t="s">
        <v>55</v>
      </c>
      <c r="L173" s="41">
        <v>43318.0</v>
      </c>
      <c r="M173" s="7"/>
      <c r="N173" s="7"/>
      <c r="O173" s="8" t="s">
        <v>25</v>
      </c>
      <c r="P173" s="8"/>
      <c r="T173" s="8"/>
      <c r="U173" s="8"/>
      <c r="V173" s="8"/>
      <c r="W173" s="8"/>
      <c r="X173" s="8"/>
      <c r="Y173" s="8"/>
      <c r="Z173" s="8"/>
      <c r="AA173" s="8"/>
      <c r="AB173" s="8"/>
      <c r="AC173" s="27"/>
      <c r="AD173" s="7"/>
      <c r="AE173" s="7"/>
      <c r="AF173" s="8"/>
      <c r="AG173" s="8"/>
    </row>
    <row r="174" ht="15.75" customHeight="1">
      <c r="B174" s="44"/>
      <c r="C174" s="8"/>
      <c r="D174" s="8">
        <v>1.0</v>
      </c>
      <c r="E174" s="8"/>
      <c r="F174" s="8"/>
      <c r="G174" s="8"/>
      <c r="H174" s="8"/>
      <c r="I174" s="8"/>
      <c r="J174" s="5">
        <f t="shared" si="1"/>
        <v>0</v>
      </c>
      <c r="K174" s="8"/>
      <c r="L174" s="41">
        <v>43318.0</v>
      </c>
      <c r="M174" s="7"/>
      <c r="N174" s="7"/>
      <c r="O174" s="8" t="s">
        <v>25</v>
      </c>
      <c r="P174" s="8" t="s">
        <v>78</v>
      </c>
      <c r="T174" s="8"/>
      <c r="U174" s="8"/>
      <c r="V174" s="8"/>
      <c r="W174" s="8"/>
      <c r="X174" s="8"/>
      <c r="Y174" s="8"/>
      <c r="Z174" s="8"/>
      <c r="AA174" s="8"/>
      <c r="AB174" s="8"/>
      <c r="AC174" s="27"/>
      <c r="AD174" s="7"/>
      <c r="AE174" s="7"/>
      <c r="AF174" s="8"/>
      <c r="AG174" s="8"/>
    </row>
    <row r="175" ht="15.75" customHeight="1">
      <c r="B175" s="44" t="s">
        <v>60</v>
      </c>
      <c r="C175" s="8">
        <v>1.0</v>
      </c>
      <c r="D175" s="38">
        <v>3.0</v>
      </c>
      <c r="E175" s="8">
        <v>2.0</v>
      </c>
      <c r="F175" s="8">
        <v>125.0</v>
      </c>
      <c r="G175" s="8">
        <v>50.0</v>
      </c>
      <c r="H175" s="8">
        <v>2.0</v>
      </c>
      <c r="I175" s="8">
        <v>1.0</v>
      </c>
      <c r="J175" s="5">
        <f t="shared" si="1"/>
        <v>1.25</v>
      </c>
      <c r="K175" s="8"/>
      <c r="L175" s="41">
        <v>43318.0</v>
      </c>
      <c r="M175" s="7"/>
      <c r="N175" s="7"/>
      <c r="O175" s="8" t="s">
        <v>25</v>
      </c>
      <c r="P175" s="8"/>
      <c r="T175" s="8"/>
      <c r="U175" s="8"/>
      <c r="V175" s="8"/>
      <c r="W175" s="8"/>
      <c r="X175" s="8"/>
      <c r="Y175" s="8"/>
      <c r="Z175" s="8"/>
      <c r="AA175" s="8"/>
      <c r="AB175" s="8"/>
      <c r="AC175" s="27"/>
      <c r="AD175" s="7"/>
      <c r="AE175" s="7"/>
      <c r="AF175" s="8"/>
      <c r="AG175" s="8"/>
    </row>
    <row r="176" ht="15.75" customHeight="1">
      <c r="B176" s="44" t="s">
        <v>60</v>
      </c>
      <c r="C176" s="8">
        <v>1.0</v>
      </c>
      <c r="D176" s="38">
        <v>4.0</v>
      </c>
      <c r="E176" s="8">
        <v>1.0</v>
      </c>
      <c r="F176" s="8">
        <v>1100.0</v>
      </c>
      <c r="G176" s="8">
        <v>-50.0</v>
      </c>
      <c r="H176" s="8">
        <v>2.0</v>
      </c>
      <c r="I176" s="8">
        <v>1.0</v>
      </c>
      <c r="J176" s="5">
        <f t="shared" si="1"/>
        <v>11</v>
      </c>
      <c r="K176" s="8"/>
      <c r="L176" s="41">
        <v>43318.0</v>
      </c>
      <c r="M176" s="7"/>
      <c r="N176" s="7"/>
      <c r="O176" s="8" t="s">
        <v>25</v>
      </c>
      <c r="P176" s="8"/>
      <c r="T176" s="8"/>
      <c r="U176" s="8"/>
      <c r="V176" s="8"/>
      <c r="W176" s="8"/>
      <c r="X176" s="8"/>
      <c r="Y176" s="8"/>
      <c r="Z176" s="8"/>
      <c r="AA176" s="8"/>
      <c r="AB176" s="8"/>
      <c r="AC176" s="27"/>
      <c r="AD176" s="7"/>
      <c r="AE176" s="7"/>
      <c r="AF176" s="8"/>
      <c r="AG176" s="8"/>
    </row>
    <row r="177" ht="15.75" customHeight="1">
      <c r="B177" s="44"/>
      <c r="C177" s="8"/>
      <c r="D177" s="8">
        <v>5.0</v>
      </c>
      <c r="E177" s="8"/>
      <c r="F177" s="8"/>
      <c r="G177" s="8"/>
      <c r="H177" s="8"/>
      <c r="I177" s="8"/>
      <c r="J177" s="5">
        <f t="shared" si="1"/>
        <v>0</v>
      </c>
      <c r="K177" s="8"/>
      <c r="L177" s="41">
        <v>43318.0</v>
      </c>
      <c r="M177" s="7"/>
      <c r="N177" s="7"/>
      <c r="O177" s="8" t="s">
        <v>25</v>
      </c>
      <c r="P177" s="8" t="s">
        <v>26</v>
      </c>
      <c r="T177" s="8"/>
      <c r="U177" s="8"/>
      <c r="V177" s="8"/>
      <c r="W177" s="8"/>
      <c r="X177" s="8"/>
      <c r="Y177" s="8"/>
      <c r="Z177" s="8"/>
      <c r="AA177" s="8"/>
      <c r="AB177" s="8"/>
      <c r="AC177" s="27"/>
      <c r="AD177" s="7"/>
      <c r="AE177" s="7"/>
      <c r="AF177" s="8"/>
      <c r="AG177" s="8"/>
    </row>
    <row r="178" ht="15.75" customHeight="1">
      <c r="B178" s="44"/>
      <c r="C178" s="8"/>
      <c r="D178" s="8">
        <v>6.0</v>
      </c>
      <c r="E178" s="8"/>
      <c r="F178" s="8"/>
      <c r="G178" s="8"/>
      <c r="H178" s="8"/>
      <c r="I178" s="8"/>
      <c r="J178" s="5">
        <f t="shared" si="1"/>
        <v>0</v>
      </c>
      <c r="K178" s="8"/>
      <c r="L178" s="41">
        <v>43318.0</v>
      </c>
      <c r="M178" s="7"/>
      <c r="N178" s="7"/>
      <c r="O178" s="8" t="s">
        <v>25</v>
      </c>
      <c r="P178" s="8" t="s">
        <v>79</v>
      </c>
      <c r="T178" s="8"/>
      <c r="U178" s="8"/>
      <c r="V178" s="8"/>
      <c r="W178" s="8"/>
      <c r="X178" s="8"/>
      <c r="Y178" s="8"/>
      <c r="Z178" s="8"/>
      <c r="AA178" s="8"/>
      <c r="AB178" s="8"/>
      <c r="AC178" s="27"/>
      <c r="AD178" s="7"/>
      <c r="AE178" s="7"/>
      <c r="AF178" s="8"/>
      <c r="AG178" s="8"/>
    </row>
    <row r="179" ht="15.75" customHeight="1">
      <c r="B179" s="44"/>
      <c r="C179" s="8"/>
      <c r="D179" s="38">
        <v>7.0</v>
      </c>
      <c r="E179" s="8"/>
      <c r="F179" s="8"/>
      <c r="G179" s="8"/>
      <c r="H179" s="8"/>
      <c r="I179" s="8"/>
      <c r="J179" s="5">
        <f t="shared" si="1"/>
        <v>0</v>
      </c>
      <c r="K179" s="8"/>
      <c r="L179" s="41">
        <v>43318.0</v>
      </c>
      <c r="M179" s="7"/>
      <c r="N179" s="7"/>
      <c r="O179" s="8" t="s">
        <v>25</v>
      </c>
      <c r="P179" s="8" t="s">
        <v>26</v>
      </c>
      <c r="T179" s="8"/>
      <c r="U179" s="8"/>
      <c r="V179" s="8"/>
      <c r="W179" s="8"/>
      <c r="X179" s="8"/>
      <c r="Y179" s="8"/>
      <c r="Z179" s="8"/>
      <c r="AA179" s="8"/>
      <c r="AB179" s="8"/>
      <c r="AC179" s="27"/>
      <c r="AD179" s="7"/>
      <c r="AE179" s="7"/>
      <c r="AF179" s="8"/>
      <c r="AG179" s="8"/>
    </row>
    <row r="180" ht="15.75" customHeight="1">
      <c r="B180" s="44"/>
      <c r="C180" s="8"/>
      <c r="D180" s="38">
        <v>8.0</v>
      </c>
      <c r="E180" s="8"/>
      <c r="F180" s="8"/>
      <c r="G180" s="8"/>
      <c r="H180" s="8"/>
      <c r="I180" s="8"/>
      <c r="J180" s="5">
        <f t="shared" si="1"/>
        <v>0</v>
      </c>
      <c r="K180" s="8"/>
      <c r="L180" s="41">
        <v>43318.0</v>
      </c>
      <c r="M180" s="7"/>
      <c r="N180" s="7"/>
      <c r="O180" s="8" t="s">
        <v>25</v>
      </c>
      <c r="P180" s="8" t="s">
        <v>79</v>
      </c>
      <c r="T180" s="8"/>
      <c r="U180" s="8"/>
      <c r="V180" s="8"/>
      <c r="W180" s="8"/>
      <c r="X180" s="8"/>
      <c r="Y180" s="8"/>
      <c r="Z180" s="8"/>
      <c r="AA180" s="8"/>
      <c r="AB180" s="8"/>
      <c r="AC180" s="27"/>
      <c r="AD180" s="7"/>
      <c r="AE180" s="7"/>
      <c r="AF180" s="8"/>
      <c r="AG180" s="8"/>
    </row>
    <row r="181" ht="15.75" customHeight="1">
      <c r="B181" s="44" t="s">
        <v>60</v>
      </c>
      <c r="C181" s="8">
        <v>1.0</v>
      </c>
      <c r="D181" s="38">
        <v>9.0</v>
      </c>
      <c r="E181" s="8">
        <v>1.0</v>
      </c>
      <c r="F181" s="8">
        <v>1300.0</v>
      </c>
      <c r="G181" s="8">
        <v>160.0</v>
      </c>
      <c r="H181" s="8">
        <v>5.0</v>
      </c>
      <c r="I181" s="8">
        <v>1.0</v>
      </c>
      <c r="J181" s="5">
        <f t="shared" si="1"/>
        <v>13</v>
      </c>
      <c r="K181" s="8" t="s">
        <v>55</v>
      </c>
      <c r="L181" s="41">
        <v>43318.0</v>
      </c>
      <c r="M181" s="7"/>
      <c r="N181" s="7"/>
      <c r="O181" s="8" t="s">
        <v>25</v>
      </c>
      <c r="P181" s="8" t="s">
        <v>26</v>
      </c>
      <c r="T181" s="8"/>
      <c r="U181" s="8"/>
      <c r="V181" s="8"/>
      <c r="W181" s="8"/>
      <c r="X181" s="8"/>
      <c r="Y181" s="8"/>
      <c r="Z181" s="8"/>
      <c r="AA181" s="8"/>
      <c r="AB181" s="8"/>
      <c r="AC181" s="27"/>
      <c r="AD181" s="7"/>
      <c r="AE181" s="7"/>
      <c r="AF181" s="8"/>
      <c r="AG181" s="8"/>
    </row>
    <row r="182" ht="15.75" customHeight="1">
      <c r="B182" s="44" t="s">
        <v>60</v>
      </c>
      <c r="C182" s="8">
        <v>1.0</v>
      </c>
      <c r="D182" s="38">
        <v>9.0</v>
      </c>
      <c r="E182" s="8">
        <v>1.0</v>
      </c>
      <c r="F182" s="8">
        <v>1000.0</v>
      </c>
      <c r="G182" s="8">
        <v>200.0</v>
      </c>
      <c r="H182" s="8">
        <v>5.0</v>
      </c>
      <c r="I182" s="8">
        <v>1.0</v>
      </c>
      <c r="J182" s="5">
        <f t="shared" si="1"/>
        <v>10</v>
      </c>
      <c r="K182" s="8" t="s">
        <v>55</v>
      </c>
      <c r="L182" s="41">
        <v>43318.0</v>
      </c>
      <c r="M182" s="7"/>
      <c r="N182" s="7"/>
      <c r="O182" s="8" t="s">
        <v>25</v>
      </c>
      <c r="P182" s="8" t="s">
        <v>26</v>
      </c>
      <c r="T182" s="8"/>
      <c r="U182" s="8"/>
      <c r="V182" s="8"/>
      <c r="W182" s="8"/>
      <c r="X182" s="8"/>
      <c r="Y182" s="8"/>
      <c r="Z182" s="8"/>
      <c r="AA182" s="8"/>
      <c r="AB182" s="8"/>
      <c r="AC182" s="27"/>
      <c r="AD182" s="7"/>
      <c r="AE182" s="7"/>
      <c r="AF182" s="8"/>
      <c r="AG182" s="8"/>
    </row>
    <row r="183" ht="15.75" customHeight="1">
      <c r="B183" s="44" t="s">
        <v>60</v>
      </c>
      <c r="C183" s="8">
        <v>1.0</v>
      </c>
      <c r="D183" s="38">
        <v>9.0</v>
      </c>
      <c r="E183" s="8">
        <v>2.0</v>
      </c>
      <c r="F183" s="8">
        <v>2000.0</v>
      </c>
      <c r="G183" s="8">
        <v>150.0</v>
      </c>
      <c r="H183" s="8">
        <v>5.0</v>
      </c>
      <c r="I183" s="8">
        <v>1.0</v>
      </c>
      <c r="J183" s="5">
        <f t="shared" si="1"/>
        <v>20</v>
      </c>
      <c r="K183" s="8"/>
      <c r="L183" s="41">
        <v>43318.0</v>
      </c>
      <c r="M183" s="7"/>
      <c r="N183" s="7"/>
      <c r="O183" s="8" t="s">
        <v>25</v>
      </c>
      <c r="P183" s="8" t="s">
        <v>26</v>
      </c>
      <c r="T183" s="8"/>
      <c r="U183" s="8"/>
      <c r="V183" s="8"/>
      <c r="W183" s="8"/>
      <c r="X183" s="8"/>
      <c r="Y183" s="8"/>
      <c r="Z183" s="8"/>
      <c r="AA183" s="8"/>
      <c r="AB183" s="8"/>
      <c r="AC183" s="27"/>
      <c r="AD183" s="7"/>
      <c r="AE183" s="7"/>
      <c r="AF183" s="8"/>
      <c r="AG183" s="8"/>
    </row>
    <row r="184" ht="15.75" customHeight="1">
      <c r="B184" s="44"/>
      <c r="C184" s="8"/>
      <c r="D184" s="8">
        <v>10.0</v>
      </c>
      <c r="E184" s="8"/>
      <c r="F184" s="8"/>
      <c r="G184" s="8"/>
      <c r="H184" s="8"/>
      <c r="I184" s="8"/>
      <c r="J184" s="5">
        <f t="shared" si="1"/>
        <v>0</v>
      </c>
      <c r="K184" s="8"/>
      <c r="L184" s="41">
        <v>43318.0</v>
      </c>
      <c r="M184" s="7"/>
      <c r="N184" s="7"/>
      <c r="O184" s="8" t="s">
        <v>25</v>
      </c>
      <c r="P184" s="8" t="s">
        <v>26</v>
      </c>
      <c r="T184" s="8"/>
      <c r="U184" s="8"/>
      <c r="V184" s="8"/>
      <c r="W184" s="8"/>
      <c r="X184" s="8"/>
      <c r="Y184" s="8"/>
      <c r="Z184" s="8"/>
      <c r="AA184" s="8"/>
      <c r="AB184" s="8"/>
      <c r="AC184" s="27"/>
      <c r="AD184" s="7"/>
      <c r="AE184" s="7"/>
      <c r="AF184" s="8"/>
      <c r="AG184" s="8"/>
    </row>
    <row r="185" ht="15.75" customHeight="1">
      <c r="B185" s="44"/>
      <c r="C185" s="8"/>
      <c r="D185" s="8">
        <v>11.0</v>
      </c>
      <c r="E185" s="8"/>
      <c r="F185" s="8"/>
      <c r="G185" s="8"/>
      <c r="H185" s="8"/>
      <c r="I185" s="8"/>
      <c r="J185" s="5">
        <f t="shared" si="1"/>
        <v>0</v>
      </c>
      <c r="K185" s="8"/>
      <c r="L185" s="41">
        <v>43318.0</v>
      </c>
      <c r="M185" s="7"/>
      <c r="N185" s="7"/>
      <c r="O185" s="8" t="s">
        <v>25</v>
      </c>
      <c r="P185" s="8" t="s">
        <v>81</v>
      </c>
      <c r="T185" s="8"/>
      <c r="U185" s="8"/>
      <c r="V185" s="8"/>
      <c r="W185" s="8"/>
      <c r="X185" s="8"/>
      <c r="Y185" s="8"/>
      <c r="Z185" s="8"/>
      <c r="AA185" s="8"/>
      <c r="AB185" s="8"/>
      <c r="AC185" s="27"/>
      <c r="AD185" s="7"/>
      <c r="AE185" s="7"/>
      <c r="AF185" s="8"/>
      <c r="AG185" s="8"/>
    </row>
    <row r="186" ht="15.75" customHeight="1">
      <c r="B186" s="45"/>
      <c r="C186" s="25"/>
      <c r="D186" s="25">
        <v>12.0</v>
      </c>
      <c r="E186" s="25"/>
      <c r="F186" s="25"/>
      <c r="G186" s="25"/>
      <c r="H186" s="25"/>
      <c r="I186" s="25"/>
      <c r="J186" s="5">
        <f t="shared" si="1"/>
        <v>0</v>
      </c>
      <c r="K186" s="25"/>
      <c r="L186" s="23">
        <v>43318.0</v>
      </c>
      <c r="M186" s="24"/>
      <c r="N186" s="24"/>
      <c r="O186" s="25" t="s">
        <v>25</v>
      </c>
      <c r="P186" s="25" t="s">
        <v>79</v>
      </c>
      <c r="T186" s="8"/>
      <c r="U186" s="8"/>
      <c r="V186" s="8"/>
      <c r="W186" s="8"/>
      <c r="X186" s="8"/>
      <c r="Y186" s="8"/>
      <c r="Z186" s="8"/>
      <c r="AA186" s="8"/>
      <c r="AB186" s="8"/>
      <c r="AC186" s="27"/>
      <c r="AD186" s="7"/>
      <c r="AE186" s="7"/>
      <c r="AF186" s="8"/>
      <c r="AG186" s="8"/>
    </row>
    <row r="187" ht="15.75" customHeight="1">
      <c r="B187" s="44" t="s">
        <v>60</v>
      </c>
      <c r="C187" s="8">
        <v>1.0</v>
      </c>
      <c r="D187" s="38">
        <v>4.0</v>
      </c>
      <c r="E187" s="8">
        <v>2.0</v>
      </c>
      <c r="F187" s="8">
        <v>390.0</v>
      </c>
      <c r="G187" s="8">
        <v>170.0</v>
      </c>
      <c r="H187" s="8">
        <v>7.0</v>
      </c>
      <c r="I187" s="8">
        <v>1.0</v>
      </c>
      <c r="J187" s="5">
        <f t="shared" si="1"/>
        <v>3.9</v>
      </c>
      <c r="K187" s="8" t="s">
        <v>57</v>
      </c>
      <c r="L187" s="27">
        <v>43030.0</v>
      </c>
      <c r="M187" s="7"/>
      <c r="N187" s="7"/>
      <c r="O187" s="8" t="s">
        <v>25</v>
      </c>
      <c r="P187" s="8"/>
      <c r="T187" s="8"/>
      <c r="U187" s="8"/>
      <c r="V187" s="8"/>
      <c r="W187" s="8"/>
      <c r="X187" s="8"/>
      <c r="Y187" s="8"/>
      <c r="Z187" s="8"/>
      <c r="AA187" s="8"/>
      <c r="AB187" s="8"/>
      <c r="AC187" s="27"/>
      <c r="AD187" s="7"/>
      <c r="AE187" s="7"/>
      <c r="AF187" s="8"/>
      <c r="AG187" s="8"/>
    </row>
    <row r="188" ht="15.75" customHeight="1">
      <c r="B188" s="44"/>
      <c r="C188" s="8"/>
      <c r="D188" s="8">
        <v>5.0</v>
      </c>
      <c r="E188" s="8"/>
      <c r="F188" s="8"/>
      <c r="G188" s="8"/>
      <c r="H188" s="8"/>
      <c r="I188" s="8"/>
      <c r="J188" s="5">
        <f t="shared" si="1"/>
        <v>0</v>
      </c>
      <c r="K188" s="8"/>
      <c r="L188" s="27">
        <v>43030.0</v>
      </c>
      <c r="M188" s="7"/>
      <c r="N188" s="7"/>
      <c r="O188" s="8" t="s">
        <v>25</v>
      </c>
      <c r="P188" s="8" t="s">
        <v>63</v>
      </c>
      <c r="T188" s="8"/>
      <c r="U188" s="8"/>
      <c r="V188" s="8"/>
      <c r="W188" s="8"/>
      <c r="X188" s="8"/>
      <c r="Y188" s="8"/>
      <c r="Z188" s="8"/>
      <c r="AA188" s="8"/>
      <c r="AB188" s="8"/>
      <c r="AC188" s="27"/>
      <c r="AD188" s="7"/>
      <c r="AE188" s="7"/>
      <c r="AF188" s="8"/>
      <c r="AG188" s="8"/>
    </row>
    <row r="189" ht="15.75" customHeight="1">
      <c r="B189" s="44"/>
      <c r="C189" s="8"/>
      <c r="D189" s="8">
        <v>6.0</v>
      </c>
      <c r="E189" s="8"/>
      <c r="F189" s="8"/>
      <c r="G189" s="8"/>
      <c r="H189" s="8"/>
      <c r="I189" s="8"/>
      <c r="J189" s="5">
        <f t="shared" si="1"/>
        <v>0</v>
      </c>
      <c r="K189" s="8"/>
      <c r="L189" s="27">
        <v>43030.0</v>
      </c>
      <c r="M189" s="7"/>
      <c r="N189" s="7"/>
      <c r="O189" s="8" t="s">
        <v>25</v>
      </c>
      <c r="P189" s="8" t="s">
        <v>63</v>
      </c>
      <c r="T189" s="8"/>
      <c r="U189" s="8"/>
      <c r="V189" s="8"/>
      <c r="W189" s="8"/>
      <c r="X189" s="8"/>
      <c r="Y189" s="8"/>
      <c r="Z189" s="8"/>
      <c r="AA189" s="8"/>
      <c r="AB189" s="8"/>
      <c r="AC189" s="27"/>
      <c r="AD189" s="7"/>
      <c r="AE189" s="7"/>
      <c r="AF189" s="8"/>
      <c r="AG189" s="8"/>
    </row>
    <row r="190" ht="15.75" customHeight="1">
      <c r="B190" s="44"/>
      <c r="C190" s="8"/>
      <c r="D190" s="38">
        <v>3.0</v>
      </c>
      <c r="E190" s="8"/>
      <c r="F190" s="8"/>
      <c r="G190" s="8"/>
      <c r="H190" s="8"/>
      <c r="I190" s="8"/>
      <c r="J190" s="5">
        <f t="shared" si="1"/>
        <v>0</v>
      </c>
      <c r="K190" s="8"/>
      <c r="L190" s="27">
        <v>43030.0</v>
      </c>
      <c r="M190" s="7"/>
      <c r="N190" s="7"/>
      <c r="O190" s="8" t="s">
        <v>25</v>
      </c>
      <c r="P190" s="8"/>
      <c r="T190" s="8"/>
      <c r="U190" s="8"/>
      <c r="V190" s="8"/>
      <c r="W190" s="8"/>
      <c r="X190" s="8"/>
      <c r="Y190" s="8"/>
      <c r="Z190" s="8"/>
      <c r="AA190" s="8"/>
      <c r="AB190" s="8"/>
      <c r="AC190" s="27"/>
      <c r="AD190" s="7"/>
      <c r="AE190" s="7"/>
      <c r="AF190" s="8"/>
      <c r="AG190" s="8"/>
    </row>
    <row r="191" ht="15.75" customHeight="1">
      <c r="B191" s="44"/>
      <c r="C191" s="8"/>
      <c r="D191" s="38">
        <v>2.0</v>
      </c>
      <c r="E191" s="8"/>
      <c r="F191" s="8"/>
      <c r="G191" s="8"/>
      <c r="H191" s="8"/>
      <c r="I191" s="8"/>
      <c r="J191" s="5">
        <f t="shared" si="1"/>
        <v>0</v>
      </c>
      <c r="K191" s="8"/>
      <c r="L191" s="27">
        <v>43030.0</v>
      </c>
      <c r="M191" s="7"/>
      <c r="N191" s="7"/>
      <c r="O191" s="8" t="s">
        <v>25</v>
      </c>
      <c r="P191" s="8"/>
      <c r="T191" s="8"/>
      <c r="U191" s="8"/>
      <c r="V191" s="8"/>
      <c r="W191" s="8"/>
      <c r="X191" s="8"/>
      <c r="Y191" s="8"/>
      <c r="Z191" s="8"/>
      <c r="AA191" s="8"/>
      <c r="AB191" s="8"/>
      <c r="AC191" s="27"/>
      <c r="AD191" s="7"/>
      <c r="AE191" s="7"/>
      <c r="AF191" s="8"/>
      <c r="AG191" s="8"/>
    </row>
    <row r="192" ht="15.75" customHeight="1">
      <c r="B192" s="44"/>
      <c r="C192" s="8"/>
      <c r="D192" s="38">
        <v>9.0</v>
      </c>
      <c r="E192" s="8"/>
      <c r="F192" s="8"/>
      <c r="G192" s="8"/>
      <c r="H192" s="8"/>
      <c r="I192" s="8"/>
      <c r="J192" s="5">
        <f t="shared" si="1"/>
        <v>0</v>
      </c>
      <c r="K192" s="8"/>
      <c r="L192" s="27">
        <v>43030.0</v>
      </c>
      <c r="M192" s="7"/>
      <c r="N192" s="7"/>
      <c r="O192" s="8" t="s">
        <v>25</v>
      </c>
      <c r="P192" s="8"/>
      <c r="T192" s="8"/>
      <c r="U192" s="8"/>
      <c r="V192" s="8"/>
      <c r="W192" s="8"/>
      <c r="X192" s="8"/>
      <c r="Y192" s="8"/>
      <c r="Z192" s="8"/>
      <c r="AA192" s="8"/>
      <c r="AB192" s="8"/>
      <c r="AC192" s="27"/>
      <c r="AD192" s="7"/>
      <c r="AE192" s="7"/>
      <c r="AF192" s="8"/>
      <c r="AG192" s="8"/>
    </row>
    <row r="193" ht="15.75" customHeight="1">
      <c r="B193" s="44" t="s">
        <v>60</v>
      </c>
      <c r="C193" s="8">
        <v>1.0</v>
      </c>
      <c r="D193" s="38">
        <v>7.0</v>
      </c>
      <c r="E193" s="8">
        <v>1.0</v>
      </c>
      <c r="F193" s="8">
        <v>544.0</v>
      </c>
      <c r="G193" s="8">
        <v>195.0</v>
      </c>
      <c r="H193" s="8">
        <v>2.0</v>
      </c>
      <c r="I193" s="8">
        <v>1.0</v>
      </c>
      <c r="J193" s="5">
        <f t="shared" si="1"/>
        <v>5.44</v>
      </c>
      <c r="K193" s="8"/>
      <c r="L193" s="27">
        <v>43030.0</v>
      </c>
      <c r="M193" s="7"/>
      <c r="N193" s="7"/>
      <c r="O193" s="8" t="s">
        <v>25</v>
      </c>
      <c r="P193" s="8"/>
      <c r="T193" s="8"/>
      <c r="U193" s="8"/>
      <c r="V193" s="8"/>
      <c r="W193" s="8"/>
      <c r="X193" s="8"/>
      <c r="Y193" s="8"/>
      <c r="Z193" s="8"/>
      <c r="AA193" s="8"/>
      <c r="AB193" s="8"/>
      <c r="AC193" s="27"/>
      <c r="AD193" s="7"/>
      <c r="AE193" s="7"/>
      <c r="AF193" s="8"/>
      <c r="AG193" s="8"/>
    </row>
    <row r="194" ht="15.75" customHeight="1">
      <c r="B194" s="44"/>
      <c r="C194" s="8"/>
      <c r="D194" s="38">
        <v>8.0</v>
      </c>
      <c r="E194" s="8"/>
      <c r="F194" s="8"/>
      <c r="G194" s="8"/>
      <c r="H194" s="8"/>
      <c r="I194" s="8"/>
      <c r="J194" s="5">
        <f t="shared" si="1"/>
        <v>0</v>
      </c>
      <c r="K194" s="8"/>
      <c r="L194" s="27">
        <v>43030.0</v>
      </c>
      <c r="M194" s="7"/>
      <c r="N194" s="7"/>
      <c r="O194" s="8" t="s">
        <v>25</v>
      </c>
      <c r="P194" s="8" t="s">
        <v>59</v>
      </c>
      <c r="T194" s="8"/>
      <c r="U194" s="8"/>
      <c r="V194" s="8"/>
      <c r="W194" s="8"/>
      <c r="X194" s="8"/>
      <c r="Y194" s="8"/>
      <c r="Z194" s="8"/>
      <c r="AA194" s="8"/>
      <c r="AB194" s="8"/>
      <c r="AC194" s="27"/>
      <c r="AD194" s="7"/>
      <c r="AE194" s="7"/>
      <c r="AF194" s="8"/>
      <c r="AG194" s="8"/>
    </row>
    <row r="195" ht="15.75" customHeight="1">
      <c r="B195" s="44"/>
      <c r="C195" s="8"/>
      <c r="D195" s="8">
        <v>10.0</v>
      </c>
      <c r="E195" s="8"/>
      <c r="F195" s="8"/>
      <c r="G195" s="8"/>
      <c r="H195" s="8"/>
      <c r="I195" s="8"/>
      <c r="J195" s="5">
        <f t="shared" si="1"/>
        <v>0</v>
      </c>
      <c r="K195" s="8"/>
      <c r="L195" s="27">
        <v>43030.0</v>
      </c>
      <c r="M195" s="7"/>
      <c r="N195" s="7"/>
      <c r="O195" s="8" t="s">
        <v>25</v>
      </c>
      <c r="P195" s="8"/>
      <c r="T195" s="8"/>
      <c r="U195" s="8"/>
      <c r="V195" s="8"/>
      <c r="W195" s="8"/>
      <c r="X195" s="8"/>
      <c r="Y195" s="8"/>
      <c r="Z195" s="8"/>
      <c r="AA195" s="8"/>
      <c r="AB195" s="8"/>
      <c r="AC195" s="27"/>
      <c r="AD195" s="7"/>
      <c r="AE195" s="7"/>
      <c r="AF195" s="8"/>
      <c r="AG195" s="8"/>
    </row>
    <row r="196" ht="15.75" customHeight="1">
      <c r="B196" s="44"/>
      <c r="C196" s="8"/>
      <c r="D196" s="8">
        <v>11.0</v>
      </c>
      <c r="E196" s="8"/>
      <c r="F196" s="8"/>
      <c r="G196" s="8"/>
      <c r="H196" s="8"/>
      <c r="I196" s="8"/>
      <c r="J196" s="5">
        <f t="shared" si="1"/>
        <v>0</v>
      </c>
      <c r="K196" s="8"/>
      <c r="L196" s="27">
        <v>43030.0</v>
      </c>
      <c r="M196" s="7"/>
      <c r="N196" s="7"/>
      <c r="O196" s="8" t="s">
        <v>25</v>
      </c>
      <c r="P196" s="8"/>
      <c r="T196" s="8"/>
      <c r="U196" s="8"/>
      <c r="V196" s="8"/>
      <c r="W196" s="8"/>
      <c r="X196" s="8"/>
      <c r="Y196" s="8"/>
      <c r="Z196" s="8"/>
      <c r="AA196" s="8"/>
      <c r="AB196" s="8"/>
      <c r="AC196" s="27"/>
      <c r="AD196" s="7"/>
      <c r="AE196" s="7"/>
      <c r="AF196" s="8"/>
      <c r="AG196" s="8"/>
    </row>
    <row r="197" ht="15.75" customHeight="1">
      <c r="B197" s="44" t="s">
        <v>60</v>
      </c>
      <c r="C197" s="8">
        <v>1.0</v>
      </c>
      <c r="D197" s="8">
        <v>1.0</v>
      </c>
      <c r="E197" s="8">
        <v>1.0</v>
      </c>
      <c r="F197" s="8">
        <v>283.0</v>
      </c>
      <c r="G197" s="8">
        <v>79.0</v>
      </c>
      <c r="H197" s="8">
        <v>2.0</v>
      </c>
      <c r="I197" s="8">
        <v>5.0</v>
      </c>
      <c r="J197" s="5">
        <f t="shared" si="1"/>
        <v>2.83</v>
      </c>
      <c r="K197" s="8"/>
      <c r="L197" s="27">
        <v>43030.0</v>
      </c>
      <c r="M197" s="7"/>
      <c r="N197" s="7"/>
      <c r="O197" s="8" t="s">
        <v>65</v>
      </c>
      <c r="P197" s="8"/>
      <c r="T197" s="8"/>
      <c r="U197" s="8"/>
      <c r="V197" s="8"/>
      <c r="W197" s="8"/>
      <c r="X197" s="8"/>
      <c r="Y197" s="8"/>
      <c r="Z197" s="8"/>
      <c r="AA197" s="8"/>
      <c r="AB197" s="8"/>
      <c r="AC197" s="27"/>
      <c r="AD197" s="7"/>
      <c r="AE197" s="7"/>
      <c r="AF197" s="8"/>
      <c r="AG197" s="8"/>
    </row>
    <row r="198" ht="15.75" customHeight="1">
      <c r="B198" s="44" t="s">
        <v>60</v>
      </c>
      <c r="C198" s="8">
        <v>1.0</v>
      </c>
      <c r="D198" s="8">
        <v>1.0</v>
      </c>
      <c r="E198" s="8">
        <v>1.0</v>
      </c>
      <c r="F198" s="8">
        <v>608.0</v>
      </c>
      <c r="G198" s="8">
        <v>93.0</v>
      </c>
      <c r="H198" s="8">
        <v>2.0</v>
      </c>
      <c r="I198" s="8">
        <v>1.0</v>
      </c>
      <c r="J198" s="5">
        <f t="shared" si="1"/>
        <v>6.08</v>
      </c>
      <c r="K198" s="8" t="s">
        <v>55</v>
      </c>
      <c r="L198" s="27">
        <v>43030.0</v>
      </c>
      <c r="M198" s="7"/>
      <c r="N198" s="7"/>
      <c r="O198" s="8" t="s">
        <v>65</v>
      </c>
      <c r="P198" s="8"/>
      <c r="T198" s="8"/>
      <c r="U198" s="8"/>
      <c r="V198" s="8"/>
      <c r="W198" s="8"/>
      <c r="X198" s="8"/>
      <c r="Y198" s="8"/>
      <c r="Z198" s="8"/>
      <c r="AA198" s="8"/>
      <c r="AB198" s="8"/>
      <c r="AC198" s="27"/>
      <c r="AD198" s="7"/>
      <c r="AE198" s="7"/>
      <c r="AF198" s="8"/>
      <c r="AG198" s="8"/>
    </row>
    <row r="199" ht="15.75" customHeight="1">
      <c r="B199" s="45"/>
      <c r="C199" s="25"/>
      <c r="D199" s="25">
        <v>12.0</v>
      </c>
      <c r="E199" s="25"/>
      <c r="F199" s="25"/>
      <c r="G199" s="25"/>
      <c r="H199" s="25"/>
      <c r="I199" s="25"/>
      <c r="J199" s="5">
        <f t="shared" si="1"/>
        <v>0</v>
      </c>
      <c r="K199" s="25"/>
      <c r="L199" s="29">
        <v>43030.0</v>
      </c>
      <c r="M199" s="24"/>
      <c r="N199" s="24"/>
      <c r="O199" s="25" t="s">
        <v>65</v>
      </c>
      <c r="P199" s="25"/>
      <c r="T199" s="8"/>
      <c r="U199" s="8"/>
      <c r="V199" s="8"/>
      <c r="W199" s="8"/>
      <c r="X199" s="8"/>
      <c r="Y199" s="8"/>
      <c r="Z199" s="8"/>
      <c r="AA199" s="8"/>
      <c r="AB199" s="8"/>
      <c r="AC199" s="27"/>
      <c r="AD199" s="7"/>
      <c r="AE199" s="7"/>
      <c r="AF199" s="8"/>
      <c r="AG199" s="8"/>
    </row>
    <row r="200" ht="15.75" customHeight="1">
      <c r="B200" s="44"/>
      <c r="C200" s="8"/>
      <c r="D200" s="8">
        <v>1.0</v>
      </c>
      <c r="E200" s="8"/>
      <c r="F200" s="8"/>
      <c r="G200" s="8"/>
      <c r="H200" s="8"/>
      <c r="I200" s="8"/>
      <c r="J200" s="5">
        <f t="shared" si="1"/>
        <v>0</v>
      </c>
      <c r="K200" s="8"/>
      <c r="L200" s="27">
        <v>43044.0</v>
      </c>
      <c r="M200" s="7"/>
      <c r="N200" s="7"/>
      <c r="O200" s="8" t="s">
        <v>25</v>
      </c>
      <c r="P200" s="8"/>
      <c r="T200" s="8"/>
      <c r="U200" s="8"/>
      <c r="V200" s="8"/>
      <c r="W200" s="8"/>
      <c r="X200" s="8"/>
      <c r="Y200" s="8"/>
      <c r="Z200" s="8"/>
      <c r="AA200" s="8"/>
      <c r="AB200" s="8"/>
      <c r="AC200" s="27"/>
      <c r="AD200" s="7"/>
      <c r="AE200" s="7"/>
      <c r="AF200" s="8"/>
      <c r="AG200" s="8"/>
    </row>
    <row r="201" ht="15.75" customHeight="1">
      <c r="B201" s="44"/>
      <c r="C201" s="8"/>
      <c r="D201" s="38">
        <v>2.0</v>
      </c>
      <c r="E201" s="8"/>
      <c r="F201" s="8"/>
      <c r="G201" s="8"/>
      <c r="H201" s="8"/>
      <c r="I201" s="8"/>
      <c r="J201" s="5">
        <f t="shared" si="1"/>
        <v>0</v>
      </c>
      <c r="K201" s="8"/>
      <c r="L201" s="27">
        <v>43044.0</v>
      </c>
      <c r="M201" s="7"/>
      <c r="N201" s="7"/>
      <c r="O201" s="8" t="s">
        <v>25</v>
      </c>
      <c r="P201" s="8"/>
      <c r="T201" s="8"/>
      <c r="U201" s="8"/>
      <c r="V201" s="8"/>
      <c r="W201" s="8"/>
      <c r="X201" s="8"/>
      <c r="Y201" s="8"/>
      <c r="Z201" s="8"/>
      <c r="AA201" s="8"/>
      <c r="AB201" s="8"/>
      <c r="AC201" s="27"/>
      <c r="AD201" s="7"/>
      <c r="AE201" s="7"/>
      <c r="AF201" s="8"/>
      <c r="AG201" s="8"/>
    </row>
    <row r="202" ht="15.75" customHeight="1">
      <c r="B202" s="44"/>
      <c r="C202" s="8"/>
      <c r="D202" s="38">
        <v>3.0</v>
      </c>
      <c r="E202" s="8"/>
      <c r="F202" s="8"/>
      <c r="G202" s="8"/>
      <c r="H202" s="8"/>
      <c r="I202" s="8"/>
      <c r="J202" s="5">
        <f t="shared" si="1"/>
        <v>0</v>
      </c>
      <c r="K202" s="8"/>
      <c r="L202" s="27">
        <v>43044.0</v>
      </c>
      <c r="M202" s="7"/>
      <c r="N202" s="7"/>
      <c r="O202" s="8" t="s">
        <v>25</v>
      </c>
      <c r="P202" s="8"/>
      <c r="T202" s="8"/>
      <c r="U202" s="8"/>
      <c r="V202" s="8"/>
      <c r="W202" s="8"/>
      <c r="X202" s="8"/>
      <c r="Y202" s="8"/>
      <c r="Z202" s="8"/>
      <c r="AA202" s="8"/>
      <c r="AB202" s="8"/>
      <c r="AC202" s="27"/>
      <c r="AD202" s="7"/>
      <c r="AE202" s="7"/>
      <c r="AF202" s="8"/>
      <c r="AG202" s="8"/>
    </row>
    <row r="203" ht="15.75" customHeight="1">
      <c r="B203" s="44" t="s">
        <v>60</v>
      </c>
      <c r="C203" s="8">
        <v>1.0</v>
      </c>
      <c r="D203" s="38">
        <v>4.0</v>
      </c>
      <c r="E203" s="8">
        <v>1.0</v>
      </c>
      <c r="F203" s="8">
        <v>567.0</v>
      </c>
      <c r="G203" s="8">
        <v>0.0</v>
      </c>
      <c r="H203" s="8">
        <v>2.0</v>
      </c>
      <c r="I203" s="8">
        <v>1.0</v>
      </c>
      <c r="J203" s="5">
        <f t="shared" si="1"/>
        <v>5.67</v>
      </c>
      <c r="K203" s="8"/>
      <c r="L203" s="27">
        <v>43044.0</v>
      </c>
      <c r="M203" s="7"/>
      <c r="N203" s="7"/>
      <c r="O203" s="8" t="s">
        <v>25</v>
      </c>
      <c r="P203" s="8"/>
      <c r="T203" s="8"/>
      <c r="U203" s="8"/>
      <c r="V203" s="8"/>
      <c r="W203" s="8"/>
      <c r="X203" s="8"/>
      <c r="Y203" s="8"/>
      <c r="Z203" s="8"/>
      <c r="AA203" s="8"/>
      <c r="AB203" s="8"/>
      <c r="AC203" s="27"/>
      <c r="AD203" s="7"/>
      <c r="AE203" s="7"/>
      <c r="AF203" s="8"/>
      <c r="AG203" s="8"/>
    </row>
    <row r="204" ht="15.75" customHeight="1">
      <c r="B204" s="44"/>
      <c r="C204" s="8"/>
      <c r="D204" s="8">
        <v>6.0</v>
      </c>
      <c r="E204" s="8"/>
      <c r="F204" s="8"/>
      <c r="G204" s="8"/>
      <c r="H204" s="8"/>
      <c r="I204" s="8"/>
      <c r="J204" s="5">
        <f t="shared" si="1"/>
        <v>0</v>
      </c>
      <c r="K204" s="8"/>
      <c r="L204" s="27">
        <v>43044.0</v>
      </c>
      <c r="M204" s="7"/>
      <c r="N204" s="7"/>
      <c r="O204" s="8" t="s">
        <v>25</v>
      </c>
      <c r="P204" s="8" t="s">
        <v>63</v>
      </c>
      <c r="T204" s="8"/>
      <c r="U204" s="8"/>
      <c r="V204" s="8"/>
      <c r="W204" s="8"/>
      <c r="X204" s="8"/>
      <c r="Y204" s="8"/>
      <c r="Z204" s="8"/>
      <c r="AA204" s="8"/>
      <c r="AB204" s="8"/>
      <c r="AC204" s="27"/>
      <c r="AD204" s="7"/>
      <c r="AE204" s="7"/>
      <c r="AF204" s="8"/>
      <c r="AG204" s="8"/>
    </row>
    <row r="205" ht="15.75" customHeight="1">
      <c r="B205" s="44"/>
      <c r="C205" s="8"/>
      <c r="D205" s="8">
        <v>5.0</v>
      </c>
      <c r="E205" s="8"/>
      <c r="F205" s="8"/>
      <c r="G205" s="8"/>
      <c r="H205" s="8"/>
      <c r="I205" s="8"/>
      <c r="J205" s="5">
        <f t="shared" si="1"/>
        <v>0</v>
      </c>
      <c r="K205" s="8"/>
      <c r="L205" s="27">
        <v>43044.0</v>
      </c>
      <c r="M205" s="7"/>
      <c r="N205" s="7"/>
      <c r="O205" s="8" t="s">
        <v>25</v>
      </c>
      <c r="P205" s="8" t="s">
        <v>63</v>
      </c>
      <c r="T205" s="8"/>
      <c r="U205" s="8"/>
      <c r="V205" s="8"/>
      <c r="W205" s="8"/>
      <c r="X205" s="8"/>
      <c r="Y205" s="8"/>
      <c r="Z205" s="8"/>
      <c r="AA205" s="8"/>
      <c r="AB205" s="8"/>
      <c r="AC205" s="27"/>
      <c r="AD205" s="7"/>
      <c r="AE205" s="7"/>
      <c r="AF205" s="8"/>
      <c r="AG205" s="8"/>
    </row>
    <row r="206" ht="15.75" customHeight="1">
      <c r="B206" s="44" t="s">
        <v>60</v>
      </c>
      <c r="C206" s="8">
        <v>1.0</v>
      </c>
      <c r="D206" s="38">
        <v>8.0</v>
      </c>
      <c r="E206" s="8">
        <v>1.0</v>
      </c>
      <c r="F206" s="8">
        <v>429.0</v>
      </c>
      <c r="G206" s="8">
        <v>90.0</v>
      </c>
      <c r="H206" s="8">
        <v>5.0</v>
      </c>
      <c r="I206" s="8">
        <v>5.0</v>
      </c>
      <c r="J206" s="5">
        <f t="shared" si="1"/>
        <v>4.29</v>
      </c>
      <c r="K206" s="8" t="s">
        <v>57</v>
      </c>
      <c r="L206" s="27">
        <v>43044.0</v>
      </c>
      <c r="M206" s="7"/>
      <c r="N206" s="7"/>
      <c r="O206" s="8" t="s">
        <v>25</v>
      </c>
      <c r="P206" s="8"/>
      <c r="T206" s="8"/>
      <c r="U206" s="8"/>
      <c r="V206" s="8"/>
      <c r="W206" s="8"/>
      <c r="X206" s="8"/>
      <c r="Y206" s="8"/>
      <c r="Z206" s="8"/>
      <c r="AA206" s="8"/>
      <c r="AB206" s="8"/>
      <c r="AC206" s="27"/>
      <c r="AD206" s="7"/>
      <c r="AE206" s="7"/>
      <c r="AF206" s="8"/>
      <c r="AG206" s="8"/>
    </row>
    <row r="207" ht="15.75" customHeight="1">
      <c r="B207" s="44" t="s">
        <v>60</v>
      </c>
      <c r="C207" s="8">
        <v>1.0</v>
      </c>
      <c r="D207" s="38">
        <v>8.0</v>
      </c>
      <c r="E207" s="8">
        <v>1.0</v>
      </c>
      <c r="F207" s="8">
        <v>502.0</v>
      </c>
      <c r="G207" s="8">
        <v>180.0</v>
      </c>
      <c r="H207" s="8">
        <v>5.0</v>
      </c>
      <c r="I207" s="8">
        <v>1.0</v>
      </c>
      <c r="J207" s="5">
        <f t="shared" si="1"/>
        <v>5.02</v>
      </c>
      <c r="K207" s="8" t="s">
        <v>55</v>
      </c>
      <c r="L207" s="27">
        <v>43044.0</v>
      </c>
      <c r="M207" s="7"/>
      <c r="N207" s="7"/>
      <c r="O207" s="8" t="s">
        <v>25</v>
      </c>
      <c r="P207" s="8"/>
      <c r="T207" s="8"/>
      <c r="U207" s="8"/>
      <c r="V207" s="8"/>
      <c r="W207" s="8"/>
      <c r="X207" s="8"/>
      <c r="Y207" s="8"/>
      <c r="Z207" s="8"/>
      <c r="AA207" s="8"/>
      <c r="AB207" s="8"/>
      <c r="AC207" s="27"/>
      <c r="AD207" s="7"/>
      <c r="AE207" s="7"/>
      <c r="AF207" s="8"/>
      <c r="AG207" s="8"/>
    </row>
    <row r="208" ht="15.75" customHeight="1">
      <c r="B208" s="44" t="s">
        <v>60</v>
      </c>
      <c r="C208" s="8">
        <v>1.0</v>
      </c>
      <c r="D208" s="38">
        <v>9.0</v>
      </c>
      <c r="E208" s="8">
        <v>1.0</v>
      </c>
      <c r="F208" s="8">
        <v>1404.0</v>
      </c>
      <c r="G208" s="8">
        <v>220.0</v>
      </c>
      <c r="H208" s="8">
        <v>5.0</v>
      </c>
      <c r="I208" s="8">
        <v>1.0</v>
      </c>
      <c r="J208" s="5">
        <f t="shared" si="1"/>
        <v>14.04</v>
      </c>
      <c r="K208" s="8" t="s">
        <v>55</v>
      </c>
      <c r="L208" s="27">
        <v>43044.0</v>
      </c>
      <c r="M208" s="7"/>
      <c r="N208" s="7"/>
      <c r="O208" s="8" t="s">
        <v>25</v>
      </c>
      <c r="P208" s="8" t="s">
        <v>79</v>
      </c>
      <c r="T208" s="8"/>
      <c r="U208" s="8"/>
      <c r="V208" s="8"/>
      <c r="W208" s="8"/>
      <c r="X208" s="8"/>
      <c r="Y208" s="8"/>
      <c r="Z208" s="8"/>
      <c r="AA208" s="8"/>
      <c r="AB208" s="8"/>
      <c r="AC208" s="27"/>
      <c r="AD208" s="7"/>
      <c r="AE208" s="7"/>
      <c r="AF208" s="8"/>
      <c r="AG208" s="8"/>
    </row>
    <row r="209" ht="15.75" customHeight="1">
      <c r="B209" s="44" t="s">
        <v>60</v>
      </c>
      <c r="C209" s="8">
        <v>1.0</v>
      </c>
      <c r="D209" s="38">
        <v>9.0</v>
      </c>
      <c r="E209" s="8">
        <v>1.0</v>
      </c>
      <c r="F209" s="8">
        <v>1708.0</v>
      </c>
      <c r="G209" s="8">
        <v>100.0</v>
      </c>
      <c r="H209" s="8">
        <v>5.0</v>
      </c>
      <c r="I209" s="8">
        <v>1.0</v>
      </c>
      <c r="J209" s="5">
        <f t="shared" si="1"/>
        <v>17.08</v>
      </c>
      <c r="K209" s="8" t="s">
        <v>57</v>
      </c>
      <c r="L209" s="27">
        <v>43044.0</v>
      </c>
      <c r="M209" s="7"/>
      <c r="N209" s="7"/>
      <c r="O209" s="8" t="s">
        <v>25</v>
      </c>
      <c r="P209" s="8" t="s">
        <v>79</v>
      </c>
      <c r="T209" s="8"/>
      <c r="U209" s="8"/>
      <c r="V209" s="8"/>
      <c r="W209" s="8"/>
      <c r="X209" s="8"/>
      <c r="Y209" s="8"/>
      <c r="Z209" s="8"/>
      <c r="AA209" s="8"/>
      <c r="AB209" s="8"/>
      <c r="AC209" s="27"/>
      <c r="AD209" s="7"/>
      <c r="AE209" s="7"/>
      <c r="AF209" s="8"/>
      <c r="AG209" s="8"/>
    </row>
    <row r="210" ht="15.75" customHeight="1">
      <c r="B210" s="44" t="s">
        <v>60</v>
      </c>
      <c r="C210" s="8">
        <v>1.0</v>
      </c>
      <c r="D210" s="38">
        <v>9.0</v>
      </c>
      <c r="E210" s="8">
        <v>1.0</v>
      </c>
      <c r="F210" s="8">
        <v>90.0</v>
      </c>
      <c r="G210" s="8">
        <v>140.0</v>
      </c>
      <c r="H210" s="8">
        <v>2.0</v>
      </c>
      <c r="I210" s="8">
        <v>5.0</v>
      </c>
      <c r="J210" s="5">
        <f t="shared" si="1"/>
        <v>0.9</v>
      </c>
      <c r="K210" s="8"/>
      <c r="L210" s="27">
        <v>43044.0</v>
      </c>
      <c r="M210" s="7"/>
      <c r="N210" s="7"/>
      <c r="O210" s="8" t="s">
        <v>25</v>
      </c>
      <c r="P210" s="8" t="s">
        <v>79</v>
      </c>
      <c r="T210" s="8"/>
      <c r="U210" s="8"/>
      <c r="V210" s="8"/>
      <c r="W210" s="8"/>
      <c r="X210" s="8"/>
      <c r="Y210" s="8"/>
      <c r="Z210" s="8"/>
      <c r="AA210" s="8"/>
      <c r="AB210" s="8"/>
      <c r="AC210" s="27"/>
      <c r="AD210" s="7"/>
      <c r="AE210" s="7"/>
      <c r="AF210" s="8"/>
      <c r="AG210" s="8"/>
    </row>
    <row r="211" ht="15.75" customHeight="1">
      <c r="B211" s="44" t="s">
        <v>60</v>
      </c>
      <c r="C211" s="8">
        <v>1.0</v>
      </c>
      <c r="D211" s="38">
        <v>9.0</v>
      </c>
      <c r="E211" s="8">
        <v>1.0</v>
      </c>
      <c r="F211" s="8">
        <v>1008.0</v>
      </c>
      <c r="G211" s="8">
        <v>200.0</v>
      </c>
      <c r="H211" s="8">
        <v>5.0</v>
      </c>
      <c r="I211" s="8">
        <v>1.0</v>
      </c>
      <c r="J211" s="5">
        <f t="shared" si="1"/>
        <v>10.08</v>
      </c>
      <c r="K211" s="8" t="s">
        <v>57</v>
      </c>
      <c r="L211" s="27">
        <v>43044.0</v>
      </c>
      <c r="M211" s="7"/>
      <c r="N211" s="7"/>
      <c r="O211" s="8" t="s">
        <v>25</v>
      </c>
      <c r="P211" s="8" t="s">
        <v>79</v>
      </c>
      <c r="T211" s="8"/>
      <c r="U211" s="8"/>
      <c r="V211" s="8"/>
      <c r="W211" s="8"/>
      <c r="X211" s="8"/>
      <c r="Y211" s="8"/>
      <c r="Z211" s="8"/>
      <c r="AA211" s="8"/>
      <c r="AB211" s="8"/>
      <c r="AC211" s="27"/>
      <c r="AD211" s="7"/>
      <c r="AE211" s="7"/>
      <c r="AF211" s="8"/>
      <c r="AG211" s="8"/>
    </row>
    <row r="212" ht="15.75" customHeight="1">
      <c r="B212" s="44" t="s">
        <v>60</v>
      </c>
      <c r="C212" s="8">
        <v>1.0</v>
      </c>
      <c r="D212" s="38">
        <v>9.0</v>
      </c>
      <c r="E212" s="8">
        <v>1.0</v>
      </c>
      <c r="F212" s="8">
        <v>1008.0</v>
      </c>
      <c r="G212" s="8">
        <v>200.0</v>
      </c>
      <c r="H212" s="8">
        <v>5.0</v>
      </c>
      <c r="I212" s="8">
        <v>1.0</v>
      </c>
      <c r="J212" s="5">
        <f t="shared" si="1"/>
        <v>10.08</v>
      </c>
      <c r="K212" s="8" t="s">
        <v>55</v>
      </c>
      <c r="L212" s="27">
        <v>43044.0</v>
      </c>
      <c r="M212" s="7"/>
      <c r="N212" s="7"/>
      <c r="O212" s="8" t="s">
        <v>25</v>
      </c>
      <c r="P212" s="8" t="s">
        <v>79</v>
      </c>
      <c r="T212" s="8"/>
      <c r="U212" s="8"/>
      <c r="V212" s="8"/>
      <c r="W212" s="8"/>
      <c r="X212" s="8"/>
      <c r="Y212" s="8"/>
      <c r="Z212" s="8"/>
      <c r="AA212" s="8"/>
      <c r="AB212" s="8"/>
      <c r="AC212" s="27"/>
      <c r="AD212" s="7"/>
      <c r="AE212" s="7"/>
      <c r="AF212" s="8"/>
      <c r="AG212" s="8"/>
    </row>
    <row r="213" ht="15.75" customHeight="1">
      <c r="B213" s="44" t="s">
        <v>60</v>
      </c>
      <c r="C213" s="8">
        <v>1.0</v>
      </c>
      <c r="D213" s="8">
        <v>11.0</v>
      </c>
      <c r="E213" s="8">
        <v>1.0</v>
      </c>
      <c r="F213" s="8">
        <v>1210.0</v>
      </c>
      <c r="G213" s="8">
        <v>190.0</v>
      </c>
      <c r="H213" s="8">
        <v>2.0</v>
      </c>
      <c r="I213" s="8">
        <v>1.0</v>
      </c>
      <c r="J213" s="5">
        <f t="shared" si="1"/>
        <v>12.1</v>
      </c>
      <c r="K213" s="8" t="s">
        <v>57</v>
      </c>
      <c r="L213" s="27">
        <v>43044.0</v>
      </c>
      <c r="M213" s="7"/>
      <c r="N213" s="7"/>
      <c r="O213" s="8" t="s">
        <v>25</v>
      </c>
      <c r="P213" s="8"/>
      <c r="T213" s="8"/>
      <c r="U213" s="8"/>
      <c r="V213" s="8"/>
      <c r="W213" s="8"/>
      <c r="X213" s="8"/>
      <c r="Y213" s="8"/>
      <c r="Z213" s="8"/>
      <c r="AA213" s="8"/>
      <c r="AB213" s="8"/>
      <c r="AC213" s="27"/>
      <c r="AD213" s="7"/>
      <c r="AE213" s="7"/>
      <c r="AF213" s="8"/>
      <c r="AG213" s="8"/>
    </row>
    <row r="214" ht="15.75" customHeight="1">
      <c r="B214" s="44" t="s">
        <v>60</v>
      </c>
      <c r="C214" s="8">
        <v>1.0</v>
      </c>
      <c r="D214" s="8">
        <v>11.0</v>
      </c>
      <c r="E214" s="8">
        <v>1.0</v>
      </c>
      <c r="F214" s="8">
        <v>1210.0</v>
      </c>
      <c r="G214" s="8">
        <v>130.0</v>
      </c>
      <c r="H214" s="8">
        <v>2.0</v>
      </c>
      <c r="I214" s="8">
        <v>1.0</v>
      </c>
      <c r="J214" s="5">
        <f t="shared" si="1"/>
        <v>12.1</v>
      </c>
      <c r="K214" s="8"/>
      <c r="L214" s="27">
        <v>43044.0</v>
      </c>
      <c r="M214" s="7"/>
      <c r="N214" s="7"/>
      <c r="O214" s="8" t="s">
        <v>25</v>
      </c>
      <c r="P214" s="8"/>
      <c r="T214" s="8"/>
      <c r="U214" s="8"/>
      <c r="V214" s="8"/>
      <c r="W214" s="8"/>
      <c r="X214" s="8"/>
      <c r="Y214" s="8"/>
      <c r="Z214" s="8"/>
      <c r="AA214" s="8"/>
      <c r="AB214" s="8"/>
      <c r="AC214" s="27"/>
      <c r="AD214" s="7"/>
      <c r="AE214" s="7"/>
      <c r="AF214" s="8"/>
      <c r="AG214" s="8"/>
    </row>
    <row r="215" ht="15.75" customHeight="1">
      <c r="B215" s="44" t="s">
        <v>60</v>
      </c>
      <c r="C215" s="8">
        <v>1.0</v>
      </c>
      <c r="D215" s="8">
        <v>10.0</v>
      </c>
      <c r="E215" s="8">
        <v>1.0</v>
      </c>
      <c r="F215" s="8">
        <v>800.0</v>
      </c>
      <c r="G215" s="8">
        <v>90.0</v>
      </c>
      <c r="H215" s="8">
        <v>2.0</v>
      </c>
      <c r="I215" s="8">
        <v>1.0</v>
      </c>
      <c r="J215" s="5">
        <f t="shared" si="1"/>
        <v>8</v>
      </c>
      <c r="K215" s="8"/>
      <c r="L215" s="27">
        <v>43044.0</v>
      </c>
      <c r="M215" s="7"/>
      <c r="N215" s="7"/>
      <c r="O215" s="8" t="s">
        <v>25</v>
      </c>
      <c r="P215" s="8"/>
      <c r="T215" s="8"/>
      <c r="U215" s="8"/>
      <c r="V215" s="8"/>
      <c r="W215" s="8"/>
      <c r="X215" s="8"/>
      <c r="Y215" s="8"/>
      <c r="Z215" s="8"/>
      <c r="AA215" s="8"/>
      <c r="AB215" s="8"/>
      <c r="AC215" s="27"/>
      <c r="AD215" s="7"/>
      <c r="AE215" s="7"/>
      <c r="AF215" s="8"/>
      <c r="AG215" s="8"/>
    </row>
    <row r="216" ht="15.75" customHeight="1">
      <c r="B216" s="44" t="s">
        <v>60</v>
      </c>
      <c r="C216" s="8">
        <v>1.0</v>
      </c>
      <c r="D216" s="38">
        <v>7.0</v>
      </c>
      <c r="E216" s="8">
        <v>1.0</v>
      </c>
      <c r="F216" s="8">
        <v>783.0</v>
      </c>
      <c r="G216" s="8">
        <v>137.0</v>
      </c>
      <c r="H216" s="8">
        <v>2.0</v>
      </c>
      <c r="I216" s="8">
        <v>1.0</v>
      </c>
      <c r="J216" s="5">
        <f t="shared" si="1"/>
        <v>7.83</v>
      </c>
      <c r="K216" s="8" t="s">
        <v>57</v>
      </c>
      <c r="L216" s="27">
        <v>43044.0</v>
      </c>
      <c r="M216" s="7"/>
      <c r="N216" s="7"/>
      <c r="O216" s="8" t="s">
        <v>25</v>
      </c>
      <c r="P216" s="8"/>
      <c r="T216" s="8"/>
      <c r="U216" s="8"/>
      <c r="V216" s="8"/>
      <c r="W216" s="8"/>
      <c r="X216" s="8"/>
      <c r="Y216" s="8"/>
      <c r="Z216" s="8"/>
      <c r="AA216" s="8"/>
      <c r="AB216" s="8"/>
      <c r="AC216" s="27"/>
      <c r="AD216" s="7"/>
      <c r="AE216" s="7"/>
      <c r="AF216" s="8"/>
      <c r="AG216" s="8"/>
    </row>
    <row r="217" ht="15.75" customHeight="1">
      <c r="B217" s="44" t="s">
        <v>60</v>
      </c>
      <c r="C217" s="25">
        <v>1.0</v>
      </c>
      <c r="D217" s="25">
        <v>12.0</v>
      </c>
      <c r="E217" s="25">
        <v>1.0</v>
      </c>
      <c r="F217" s="25">
        <v>120.0</v>
      </c>
      <c r="G217" s="25">
        <v>135.0</v>
      </c>
      <c r="H217" s="25">
        <v>2.0</v>
      </c>
      <c r="I217" s="25">
        <v>5.0</v>
      </c>
      <c r="J217" s="5">
        <f t="shared" si="1"/>
        <v>1.2</v>
      </c>
      <c r="K217" s="25" t="s">
        <v>57</v>
      </c>
      <c r="L217" s="29">
        <v>43044.0</v>
      </c>
      <c r="M217" s="24"/>
      <c r="N217" s="24"/>
      <c r="O217" s="25" t="s">
        <v>25</v>
      </c>
      <c r="P217" s="25"/>
      <c r="T217" s="8"/>
      <c r="U217" s="8"/>
      <c r="V217" s="8"/>
      <c r="W217" s="8"/>
      <c r="X217" s="8"/>
      <c r="Y217" s="8"/>
      <c r="Z217" s="8"/>
      <c r="AA217" s="8"/>
      <c r="AB217" s="8"/>
      <c r="AC217" s="27"/>
      <c r="AD217" s="7"/>
      <c r="AE217" s="7"/>
      <c r="AF217" s="8"/>
      <c r="AG217" s="8"/>
    </row>
    <row r="218" ht="15.75" customHeight="1">
      <c r="B218" s="44"/>
      <c r="C218" s="8"/>
      <c r="D218" s="8">
        <v>1.0</v>
      </c>
      <c r="E218" s="8"/>
      <c r="F218" s="8"/>
      <c r="G218" s="8"/>
      <c r="H218" s="8"/>
      <c r="I218" s="8"/>
      <c r="J218" s="5">
        <f t="shared" si="1"/>
        <v>0</v>
      </c>
      <c r="K218" s="8"/>
      <c r="L218" s="27">
        <v>43091.0</v>
      </c>
      <c r="M218" s="7"/>
      <c r="N218" s="7"/>
      <c r="O218" s="8" t="s">
        <v>25</v>
      </c>
      <c r="P218" s="8"/>
      <c r="T218" s="8"/>
      <c r="U218" s="8"/>
      <c r="V218" s="8"/>
      <c r="W218" s="8"/>
      <c r="X218" s="8"/>
      <c r="Y218" s="8"/>
      <c r="Z218" s="8"/>
      <c r="AA218" s="8"/>
      <c r="AB218" s="8"/>
      <c r="AC218" s="27"/>
      <c r="AD218" s="7"/>
      <c r="AE218" s="7"/>
      <c r="AF218" s="8"/>
      <c r="AG218" s="8"/>
    </row>
    <row r="219" ht="15.75" customHeight="1">
      <c r="B219" s="44"/>
      <c r="C219" s="8"/>
      <c r="D219" s="38">
        <v>2.0</v>
      </c>
      <c r="E219" s="8"/>
      <c r="F219" s="8"/>
      <c r="G219" s="8"/>
      <c r="H219" s="8"/>
      <c r="I219" s="8"/>
      <c r="J219" s="5">
        <f t="shared" si="1"/>
        <v>0</v>
      </c>
      <c r="K219" s="8"/>
      <c r="L219" s="27">
        <v>43091.0</v>
      </c>
      <c r="M219" s="7"/>
      <c r="N219" s="7"/>
      <c r="O219" s="8" t="s">
        <v>25</v>
      </c>
      <c r="P219" s="8" t="s">
        <v>78</v>
      </c>
      <c r="T219" s="8"/>
      <c r="U219" s="8"/>
      <c r="V219" s="8"/>
      <c r="W219" s="8"/>
      <c r="X219" s="8"/>
      <c r="Y219" s="8"/>
      <c r="Z219" s="8"/>
      <c r="AA219" s="8"/>
      <c r="AB219" s="8"/>
      <c r="AC219" s="27"/>
      <c r="AD219" s="7"/>
      <c r="AE219" s="7"/>
      <c r="AF219" s="8"/>
      <c r="AG219" s="8"/>
    </row>
    <row r="220" ht="15.75" customHeight="1">
      <c r="B220" s="44"/>
      <c r="C220" s="8"/>
      <c r="D220" s="38">
        <v>3.0</v>
      </c>
      <c r="E220" s="8"/>
      <c r="F220" s="8"/>
      <c r="G220" s="8"/>
      <c r="H220" s="8"/>
      <c r="I220" s="8"/>
      <c r="J220" s="5">
        <f t="shared" si="1"/>
        <v>0</v>
      </c>
      <c r="K220" s="8"/>
      <c r="L220" s="27">
        <v>43091.0</v>
      </c>
      <c r="M220" s="7"/>
      <c r="N220" s="7"/>
      <c r="O220" s="8" t="s">
        <v>25</v>
      </c>
      <c r="P220" s="8"/>
      <c r="T220" s="8"/>
      <c r="U220" s="8"/>
      <c r="V220" s="8"/>
      <c r="W220" s="8"/>
      <c r="X220" s="8"/>
      <c r="Y220" s="8"/>
      <c r="Z220" s="8"/>
      <c r="AA220" s="8"/>
      <c r="AB220" s="8"/>
      <c r="AC220" s="27"/>
      <c r="AD220" s="7"/>
      <c r="AE220" s="7"/>
      <c r="AF220" s="8"/>
      <c r="AG220" s="8"/>
    </row>
    <row r="221" ht="15.75" customHeight="1">
      <c r="B221" s="44"/>
      <c r="C221" s="8"/>
      <c r="D221" s="38">
        <v>4.0</v>
      </c>
      <c r="E221" s="8"/>
      <c r="F221" s="8"/>
      <c r="G221" s="8"/>
      <c r="H221" s="8"/>
      <c r="I221" s="8"/>
      <c r="J221" s="5">
        <f t="shared" si="1"/>
        <v>0</v>
      </c>
      <c r="K221" s="8"/>
      <c r="L221" s="27">
        <v>43091.0</v>
      </c>
      <c r="M221" s="7"/>
      <c r="N221" s="7"/>
      <c r="O221" s="8" t="s">
        <v>25</v>
      </c>
      <c r="P221" s="8"/>
      <c r="T221" s="8"/>
      <c r="U221" s="8"/>
      <c r="V221" s="8"/>
      <c r="W221" s="8"/>
      <c r="X221" s="8"/>
      <c r="Y221" s="8"/>
      <c r="Z221" s="8"/>
      <c r="AA221" s="8"/>
      <c r="AB221" s="8"/>
      <c r="AC221" s="27"/>
      <c r="AD221" s="7"/>
      <c r="AE221" s="7"/>
      <c r="AF221" s="8"/>
      <c r="AG221" s="8"/>
    </row>
    <row r="222" ht="15.75" customHeight="1">
      <c r="B222" s="44"/>
      <c r="C222" s="8"/>
      <c r="D222" s="8">
        <v>6.0</v>
      </c>
      <c r="E222" s="8"/>
      <c r="F222" s="8"/>
      <c r="G222" s="8"/>
      <c r="H222" s="8"/>
      <c r="I222" s="8"/>
      <c r="J222" s="5">
        <f t="shared" si="1"/>
        <v>0</v>
      </c>
      <c r="K222" s="8"/>
      <c r="L222" s="27">
        <v>43091.0</v>
      </c>
      <c r="M222" s="7"/>
      <c r="N222" s="7"/>
      <c r="O222" s="8" t="s">
        <v>25</v>
      </c>
      <c r="P222" s="8" t="s">
        <v>63</v>
      </c>
      <c r="T222" s="8"/>
      <c r="U222" s="8"/>
      <c r="V222" s="8"/>
      <c r="W222" s="8"/>
      <c r="X222" s="8"/>
      <c r="Y222" s="8"/>
      <c r="Z222" s="8"/>
      <c r="AA222" s="8"/>
      <c r="AB222" s="8"/>
      <c r="AC222" s="27"/>
      <c r="AD222" s="7"/>
      <c r="AE222" s="7"/>
      <c r="AF222" s="8"/>
      <c r="AG222" s="8"/>
    </row>
    <row r="223" ht="15.75" customHeight="1">
      <c r="B223" s="44"/>
      <c r="C223" s="8"/>
      <c r="D223" s="8">
        <v>5.0</v>
      </c>
      <c r="E223" s="8"/>
      <c r="F223" s="8"/>
      <c r="G223" s="8"/>
      <c r="H223" s="8"/>
      <c r="I223" s="8"/>
      <c r="J223" s="5">
        <f t="shared" si="1"/>
        <v>0</v>
      </c>
      <c r="K223" s="8"/>
      <c r="L223" s="27">
        <v>43091.0</v>
      </c>
      <c r="M223" s="7"/>
      <c r="N223" s="7"/>
      <c r="O223" s="8" t="s">
        <v>25</v>
      </c>
      <c r="P223" s="8"/>
    </row>
    <row r="224" ht="15.75" customHeight="1">
      <c r="B224" s="44"/>
      <c r="C224" s="8"/>
      <c r="D224" s="38">
        <v>7.0</v>
      </c>
      <c r="E224" s="8"/>
      <c r="F224" s="8"/>
      <c r="G224" s="8"/>
      <c r="H224" s="8"/>
      <c r="I224" s="8"/>
      <c r="J224" s="5">
        <f t="shared" si="1"/>
        <v>0</v>
      </c>
      <c r="K224" s="8"/>
      <c r="L224" s="27">
        <v>43091.0</v>
      </c>
      <c r="M224" s="7"/>
      <c r="N224" s="7"/>
      <c r="O224" s="8" t="s">
        <v>25</v>
      </c>
      <c r="P224" s="8"/>
    </row>
    <row r="225" ht="15.75" customHeight="1">
      <c r="B225" s="44"/>
      <c r="C225" s="8"/>
      <c r="D225" s="38">
        <v>8.0</v>
      </c>
      <c r="E225" s="8"/>
      <c r="F225" s="8"/>
      <c r="G225" s="8"/>
      <c r="H225" s="8"/>
      <c r="I225" s="8"/>
      <c r="J225" s="5">
        <f t="shared" si="1"/>
        <v>0</v>
      </c>
      <c r="K225" s="8"/>
      <c r="L225" s="27">
        <v>43091.0</v>
      </c>
      <c r="M225" s="7"/>
      <c r="N225" s="7"/>
      <c r="O225" s="8" t="s">
        <v>25</v>
      </c>
      <c r="P225" s="8"/>
    </row>
    <row r="226" ht="15.75" customHeight="1">
      <c r="B226" s="44" t="s">
        <v>60</v>
      </c>
      <c r="C226" s="8">
        <v>1.0</v>
      </c>
      <c r="D226" s="38">
        <v>9.0</v>
      </c>
      <c r="E226" s="8">
        <v>1.0</v>
      </c>
      <c r="F226" s="8">
        <v>900.0</v>
      </c>
      <c r="G226" s="8">
        <v>158.0</v>
      </c>
      <c r="H226" s="8">
        <v>5.0</v>
      </c>
      <c r="I226" s="8">
        <v>1.0</v>
      </c>
      <c r="J226" s="5">
        <f t="shared" si="1"/>
        <v>9</v>
      </c>
      <c r="K226" s="8" t="s">
        <v>57</v>
      </c>
      <c r="L226" s="27">
        <v>43091.0</v>
      </c>
      <c r="M226" s="7"/>
      <c r="N226" s="7"/>
      <c r="O226" s="8" t="s">
        <v>25</v>
      </c>
      <c r="P226" s="8"/>
    </row>
    <row r="227" ht="15.75" customHeight="1">
      <c r="B227" s="44" t="s">
        <v>60</v>
      </c>
      <c r="C227" s="8">
        <v>1.0</v>
      </c>
      <c r="D227" s="38">
        <v>9.0</v>
      </c>
      <c r="E227" s="8">
        <v>1.0</v>
      </c>
      <c r="F227" s="8">
        <v>900.0</v>
      </c>
      <c r="G227" s="8">
        <v>158.0</v>
      </c>
      <c r="H227" s="8">
        <v>5.0</v>
      </c>
      <c r="I227" s="8">
        <v>1.0</v>
      </c>
      <c r="J227" s="5">
        <f t="shared" si="1"/>
        <v>9</v>
      </c>
      <c r="K227" s="8" t="s">
        <v>57</v>
      </c>
      <c r="L227" s="27">
        <v>43091.0</v>
      </c>
      <c r="M227" s="7"/>
      <c r="N227" s="7"/>
      <c r="O227" s="8" t="s">
        <v>25</v>
      </c>
      <c r="P227" s="8"/>
    </row>
    <row r="228" ht="15.75" customHeight="1">
      <c r="B228" s="44" t="s">
        <v>60</v>
      </c>
      <c r="C228" s="8">
        <v>1.0</v>
      </c>
      <c r="D228" s="38">
        <v>9.0</v>
      </c>
      <c r="E228" s="8">
        <v>1.0</v>
      </c>
      <c r="F228" s="8">
        <v>900.0</v>
      </c>
      <c r="G228" s="8">
        <v>158.0</v>
      </c>
      <c r="H228" s="8">
        <v>5.0</v>
      </c>
      <c r="I228" s="8">
        <v>1.0</v>
      </c>
      <c r="J228" s="5">
        <f t="shared" si="1"/>
        <v>9</v>
      </c>
      <c r="K228" s="8" t="s">
        <v>57</v>
      </c>
      <c r="L228" s="27">
        <v>43091.0</v>
      </c>
      <c r="M228" s="7"/>
      <c r="N228" s="7"/>
      <c r="O228" s="8" t="s">
        <v>25</v>
      </c>
      <c r="P228" s="8"/>
    </row>
    <row r="229" ht="15.75" customHeight="1">
      <c r="B229" s="44"/>
      <c r="C229" s="8"/>
      <c r="D229" s="8">
        <v>10.0</v>
      </c>
      <c r="E229" s="8"/>
      <c r="F229" s="8"/>
      <c r="G229" s="8"/>
      <c r="H229" s="8"/>
      <c r="I229" s="8"/>
      <c r="J229" s="5">
        <f t="shared" si="1"/>
        <v>0</v>
      </c>
      <c r="K229" s="8"/>
      <c r="L229" s="27">
        <v>43091.0</v>
      </c>
      <c r="M229" s="7"/>
      <c r="N229" s="7"/>
      <c r="O229" s="8" t="s">
        <v>25</v>
      </c>
      <c r="P229" s="8"/>
    </row>
    <row r="230" ht="15.75" customHeight="1">
      <c r="B230" s="44"/>
      <c r="C230" s="8"/>
      <c r="D230" s="8">
        <v>11.0</v>
      </c>
      <c r="E230" s="8"/>
      <c r="F230" s="8"/>
      <c r="G230" s="8"/>
      <c r="H230" s="8"/>
      <c r="I230" s="8"/>
      <c r="J230" s="5">
        <f t="shared" si="1"/>
        <v>0</v>
      </c>
      <c r="K230" s="8"/>
      <c r="L230" s="27">
        <v>43091.0</v>
      </c>
      <c r="M230" s="7"/>
      <c r="N230" s="7"/>
      <c r="O230" s="8" t="s">
        <v>25</v>
      </c>
      <c r="P230" s="8"/>
    </row>
    <row r="231" ht="15.75" customHeight="1">
      <c r="B231" s="45"/>
      <c r="C231" s="25"/>
      <c r="D231" s="25">
        <v>12.0</v>
      </c>
      <c r="E231" s="25"/>
      <c r="F231" s="25"/>
      <c r="G231" s="25"/>
      <c r="H231" s="25"/>
      <c r="I231" s="25"/>
      <c r="J231" s="5">
        <f t="shared" si="1"/>
        <v>0</v>
      </c>
      <c r="K231" s="25"/>
      <c r="L231" s="29">
        <v>43091.0</v>
      </c>
      <c r="M231" s="24"/>
      <c r="N231" s="24"/>
      <c r="O231" s="25" t="s">
        <v>25</v>
      </c>
      <c r="P231" s="25"/>
    </row>
    <row r="232" ht="15.75" customHeight="1">
      <c r="B232" s="44"/>
      <c r="C232" s="8"/>
      <c r="D232" s="8">
        <v>1.0</v>
      </c>
      <c r="E232" s="8"/>
      <c r="F232" s="8"/>
      <c r="G232" s="8"/>
      <c r="H232" s="8"/>
      <c r="I232" s="8"/>
      <c r="J232" s="5">
        <f t="shared" si="1"/>
        <v>0</v>
      </c>
      <c r="K232" s="8"/>
      <c r="L232" s="27">
        <v>43114.0</v>
      </c>
      <c r="M232" s="7"/>
      <c r="N232" s="7"/>
      <c r="O232" s="8" t="s">
        <v>70</v>
      </c>
      <c r="P232" s="8"/>
    </row>
    <row r="233" ht="15.75" customHeight="1">
      <c r="B233" s="44"/>
      <c r="C233" s="8"/>
      <c r="D233" s="38">
        <v>2.0</v>
      </c>
      <c r="E233" s="8"/>
      <c r="F233" s="8"/>
      <c r="G233" s="8"/>
      <c r="H233" s="8"/>
      <c r="I233" s="8"/>
      <c r="J233" s="5">
        <f t="shared" si="1"/>
        <v>0</v>
      </c>
      <c r="K233" s="8"/>
      <c r="L233" s="27">
        <v>43114.0</v>
      </c>
      <c r="M233" s="7"/>
      <c r="N233" s="7"/>
      <c r="O233" s="8" t="s">
        <v>70</v>
      </c>
      <c r="P233" s="8"/>
    </row>
    <row r="234" ht="15.75" customHeight="1">
      <c r="B234" s="44"/>
      <c r="C234" s="8"/>
      <c r="D234" s="38">
        <v>3.0</v>
      </c>
      <c r="E234" s="8"/>
      <c r="F234" s="8"/>
      <c r="G234" s="8"/>
      <c r="H234" s="8"/>
      <c r="I234" s="8"/>
      <c r="J234" s="5">
        <f t="shared" si="1"/>
        <v>0</v>
      </c>
      <c r="K234" s="8"/>
      <c r="L234" s="27">
        <v>43114.0</v>
      </c>
      <c r="M234" s="7"/>
      <c r="N234" s="7"/>
      <c r="O234" s="8" t="s">
        <v>67</v>
      </c>
      <c r="P234" s="8"/>
    </row>
    <row r="235" ht="15.75" customHeight="1">
      <c r="B235" s="44"/>
      <c r="C235" s="8"/>
      <c r="D235" s="38">
        <v>4.0</v>
      </c>
      <c r="E235" s="8"/>
      <c r="F235" s="8"/>
      <c r="G235" s="8"/>
      <c r="H235" s="8"/>
      <c r="I235" s="8"/>
      <c r="J235" s="5">
        <f t="shared" si="1"/>
        <v>0</v>
      </c>
      <c r="K235" s="8"/>
      <c r="L235" s="27">
        <v>43114.0</v>
      </c>
      <c r="M235" s="7"/>
      <c r="N235" s="7"/>
      <c r="O235" s="8" t="s">
        <v>25</v>
      </c>
      <c r="P235" s="8"/>
    </row>
    <row r="236" ht="15.75" customHeight="1">
      <c r="B236" s="44"/>
      <c r="C236" s="8"/>
      <c r="D236" s="8">
        <v>6.0</v>
      </c>
      <c r="E236" s="8"/>
      <c r="F236" s="8"/>
      <c r="G236" s="8"/>
      <c r="H236" s="8"/>
      <c r="I236" s="8"/>
      <c r="J236" s="5">
        <f t="shared" si="1"/>
        <v>0</v>
      </c>
      <c r="K236" s="8"/>
      <c r="L236" s="27">
        <v>43114.0</v>
      </c>
      <c r="M236" s="7"/>
      <c r="N236" s="7"/>
      <c r="O236" s="8" t="s">
        <v>25</v>
      </c>
      <c r="P236" s="8" t="s">
        <v>63</v>
      </c>
    </row>
    <row r="237" ht="15.75" customHeight="1">
      <c r="B237" s="44"/>
      <c r="C237" s="8"/>
      <c r="D237" s="8">
        <v>5.0</v>
      </c>
      <c r="E237" s="8"/>
      <c r="F237" s="8"/>
      <c r="G237" s="8"/>
      <c r="H237" s="8"/>
      <c r="I237" s="8"/>
      <c r="J237" s="5">
        <f t="shared" si="1"/>
        <v>0</v>
      </c>
      <c r="K237" s="8"/>
      <c r="L237" s="27">
        <v>43114.0</v>
      </c>
      <c r="M237" s="7"/>
      <c r="N237" s="7"/>
      <c r="O237" s="8" t="s">
        <v>25</v>
      </c>
      <c r="P237" s="8" t="s">
        <v>63</v>
      </c>
    </row>
    <row r="238" ht="15.75" customHeight="1">
      <c r="B238" s="44"/>
      <c r="C238" s="8"/>
      <c r="D238" s="38">
        <v>7.0</v>
      </c>
      <c r="E238" s="8"/>
      <c r="F238" s="8"/>
      <c r="G238" s="8"/>
      <c r="H238" s="8"/>
      <c r="I238" s="8"/>
      <c r="J238" s="5">
        <f t="shared" si="1"/>
        <v>0</v>
      </c>
      <c r="K238" s="8"/>
      <c r="L238" s="27">
        <v>43114.0</v>
      </c>
      <c r="M238" s="7"/>
      <c r="N238" s="7"/>
      <c r="O238" s="8" t="s">
        <v>25</v>
      </c>
      <c r="P238" s="8"/>
    </row>
    <row r="239" ht="15.75" customHeight="1">
      <c r="B239" s="44"/>
      <c r="C239" s="8"/>
      <c r="D239" s="38">
        <v>8.0</v>
      </c>
      <c r="E239" s="8"/>
      <c r="F239" s="8"/>
      <c r="G239" s="8"/>
      <c r="H239" s="8"/>
      <c r="I239" s="8"/>
      <c r="J239" s="5">
        <f t="shared" si="1"/>
        <v>0</v>
      </c>
      <c r="K239" s="8"/>
      <c r="L239" s="27">
        <v>43114.0</v>
      </c>
      <c r="M239" s="7"/>
      <c r="N239" s="7"/>
      <c r="O239" s="8" t="s">
        <v>25</v>
      </c>
      <c r="P239" s="8"/>
    </row>
    <row r="240" ht="15.75" customHeight="1">
      <c r="B240" s="44"/>
      <c r="C240" s="8"/>
      <c r="D240" s="38">
        <v>9.0</v>
      </c>
      <c r="E240" s="8"/>
      <c r="F240" s="8"/>
      <c r="G240" s="8"/>
      <c r="H240" s="8"/>
      <c r="I240" s="8"/>
      <c r="J240" s="5">
        <f t="shared" si="1"/>
        <v>0</v>
      </c>
      <c r="K240" s="8"/>
      <c r="L240" s="27">
        <v>43114.0</v>
      </c>
      <c r="M240" s="7"/>
      <c r="N240" s="7"/>
      <c r="O240" s="8" t="s">
        <v>25</v>
      </c>
      <c r="P240" s="8"/>
    </row>
    <row r="241" ht="15.75" customHeight="1">
      <c r="B241" s="44"/>
      <c r="C241" s="8"/>
      <c r="D241" s="8">
        <v>11.0</v>
      </c>
      <c r="E241" s="8"/>
      <c r="F241" s="8"/>
      <c r="G241" s="8"/>
      <c r="H241" s="8"/>
      <c r="I241" s="8"/>
      <c r="J241" s="5">
        <f t="shared" si="1"/>
        <v>0</v>
      </c>
      <c r="K241" s="8"/>
      <c r="L241" s="27">
        <v>43114.0</v>
      </c>
      <c r="M241" s="7"/>
      <c r="N241" s="7"/>
      <c r="O241" s="8" t="s">
        <v>25</v>
      </c>
      <c r="P241" s="8"/>
    </row>
    <row r="242" ht="15.75" customHeight="1">
      <c r="B242" s="44"/>
      <c r="C242" s="8"/>
      <c r="D242" s="8">
        <v>10.0</v>
      </c>
      <c r="E242" s="8"/>
      <c r="F242" s="8"/>
      <c r="G242" s="8"/>
      <c r="H242" s="8"/>
      <c r="I242" s="8"/>
      <c r="J242" s="5">
        <f t="shared" si="1"/>
        <v>0</v>
      </c>
      <c r="K242" s="8"/>
      <c r="L242" s="27">
        <v>43114.0</v>
      </c>
      <c r="M242" s="7"/>
      <c r="N242" s="7"/>
      <c r="O242" s="8" t="s">
        <v>25</v>
      </c>
      <c r="P242" s="8"/>
    </row>
    <row r="243" ht="15.75" customHeight="1">
      <c r="B243" s="45"/>
      <c r="C243" s="25"/>
      <c r="D243" s="25">
        <v>12.0</v>
      </c>
      <c r="E243" s="25"/>
      <c r="F243" s="25"/>
      <c r="G243" s="25"/>
      <c r="H243" s="25"/>
      <c r="I243" s="25"/>
      <c r="J243" s="5">
        <f t="shared" si="1"/>
        <v>0</v>
      </c>
      <c r="K243" s="25"/>
      <c r="L243" s="29">
        <v>43114.0</v>
      </c>
      <c r="M243" s="24"/>
      <c r="N243" s="24"/>
      <c r="O243" s="25" t="s">
        <v>25</v>
      </c>
      <c r="P243" s="25"/>
    </row>
    <row r="244" ht="15.75" customHeight="1">
      <c r="B244" s="44"/>
      <c r="C244" s="8"/>
      <c r="D244" s="8">
        <v>1.0</v>
      </c>
      <c r="E244" s="8"/>
      <c r="F244" s="8"/>
      <c r="G244" s="8"/>
      <c r="H244" s="8"/>
      <c r="I244" s="8"/>
      <c r="J244" s="5">
        <f t="shared" si="1"/>
        <v>0</v>
      </c>
      <c r="K244" s="8"/>
      <c r="L244" s="27">
        <v>43135.0</v>
      </c>
      <c r="M244" s="7"/>
      <c r="N244" s="7"/>
      <c r="O244" s="8" t="s">
        <v>25</v>
      </c>
      <c r="P244" s="8"/>
    </row>
    <row r="245" ht="15.75" customHeight="1">
      <c r="B245" s="44"/>
      <c r="C245" s="8"/>
      <c r="D245" s="38">
        <v>2.0</v>
      </c>
      <c r="E245" s="8"/>
      <c r="F245" s="8"/>
      <c r="G245" s="8"/>
      <c r="H245" s="8"/>
      <c r="I245" s="8"/>
      <c r="J245" s="5">
        <f t="shared" si="1"/>
        <v>0</v>
      </c>
      <c r="K245" s="8"/>
      <c r="L245" s="27">
        <v>43135.0</v>
      </c>
      <c r="M245" s="7"/>
      <c r="N245" s="7"/>
      <c r="O245" s="8" t="s">
        <v>25</v>
      </c>
      <c r="P245" s="8"/>
    </row>
    <row r="246" ht="15.75" customHeight="1">
      <c r="B246" s="44"/>
      <c r="C246" s="8"/>
      <c r="D246" s="38">
        <v>3.0</v>
      </c>
      <c r="E246" s="8"/>
      <c r="F246" s="8"/>
      <c r="G246" s="8"/>
      <c r="H246" s="8"/>
      <c r="I246" s="8"/>
      <c r="J246" s="5">
        <f t="shared" si="1"/>
        <v>0</v>
      </c>
      <c r="K246" s="8"/>
      <c r="L246" s="27">
        <v>43135.0</v>
      </c>
      <c r="M246" s="7"/>
      <c r="N246" s="7"/>
      <c r="O246" s="8" t="s">
        <v>25</v>
      </c>
      <c r="P246" s="8"/>
    </row>
    <row r="247" ht="15.75" customHeight="1">
      <c r="B247" s="44"/>
      <c r="C247" s="8"/>
      <c r="D247" s="38">
        <v>4.0</v>
      </c>
      <c r="E247" s="8"/>
      <c r="F247" s="8"/>
      <c r="G247" s="8"/>
      <c r="H247" s="8"/>
      <c r="I247" s="8"/>
      <c r="J247" s="5">
        <f t="shared" si="1"/>
        <v>0</v>
      </c>
      <c r="K247" s="8"/>
      <c r="L247" s="27">
        <v>43135.0</v>
      </c>
      <c r="M247" s="7"/>
      <c r="N247" s="7"/>
      <c r="O247" s="8" t="s">
        <v>25</v>
      </c>
      <c r="P247" s="8"/>
    </row>
    <row r="248" ht="15.75" customHeight="1">
      <c r="B248" s="44"/>
      <c r="C248" s="8"/>
      <c r="D248" s="8">
        <v>5.0</v>
      </c>
      <c r="E248" s="8"/>
      <c r="F248" s="8"/>
      <c r="G248" s="8"/>
      <c r="H248" s="8"/>
      <c r="I248" s="8"/>
      <c r="J248" s="5">
        <f t="shared" si="1"/>
        <v>0</v>
      </c>
      <c r="K248" s="8"/>
      <c r="L248" s="27">
        <v>43135.0</v>
      </c>
      <c r="M248" s="7"/>
      <c r="N248" s="7"/>
      <c r="O248" s="8" t="s">
        <v>25</v>
      </c>
      <c r="P248" s="8" t="s">
        <v>63</v>
      </c>
    </row>
    <row r="249" ht="15.75" customHeight="1">
      <c r="B249" s="44"/>
      <c r="C249" s="8"/>
      <c r="D249" s="8">
        <v>6.0</v>
      </c>
      <c r="E249" s="8"/>
      <c r="F249" s="8"/>
      <c r="G249" s="8"/>
      <c r="H249" s="8"/>
      <c r="I249" s="8"/>
      <c r="J249" s="5">
        <f t="shared" si="1"/>
        <v>0</v>
      </c>
      <c r="K249" s="8"/>
      <c r="L249" s="27">
        <v>43135.0</v>
      </c>
      <c r="M249" s="7"/>
      <c r="N249" s="7"/>
      <c r="O249" s="8" t="s">
        <v>25</v>
      </c>
      <c r="P249" s="8" t="s">
        <v>63</v>
      </c>
    </row>
    <row r="250" ht="15.75" customHeight="1">
      <c r="B250" s="44"/>
      <c r="C250" s="8"/>
      <c r="D250" s="38">
        <v>7.0</v>
      </c>
      <c r="E250" s="8"/>
      <c r="F250" s="8"/>
      <c r="G250" s="8"/>
      <c r="H250" s="8"/>
      <c r="I250" s="8"/>
      <c r="J250" s="5">
        <f t="shared" si="1"/>
        <v>0</v>
      </c>
      <c r="K250" s="8"/>
      <c r="L250" s="27">
        <v>43135.0</v>
      </c>
      <c r="M250" s="7"/>
      <c r="N250" s="7"/>
      <c r="O250" s="8" t="s">
        <v>25</v>
      </c>
      <c r="P250" s="8"/>
    </row>
    <row r="251" ht="15.75" customHeight="1">
      <c r="B251" s="44"/>
      <c r="C251" s="8"/>
      <c r="D251" s="38">
        <v>8.0</v>
      </c>
      <c r="E251" s="8"/>
      <c r="F251" s="8"/>
      <c r="G251" s="8"/>
      <c r="H251" s="8"/>
      <c r="I251" s="8"/>
      <c r="J251" s="5">
        <f t="shared" si="1"/>
        <v>0</v>
      </c>
      <c r="K251" s="8"/>
      <c r="L251" s="27">
        <v>43135.0</v>
      </c>
      <c r="M251" s="7"/>
      <c r="N251" s="7"/>
      <c r="O251" s="8" t="s">
        <v>25</v>
      </c>
      <c r="P251" s="8"/>
    </row>
    <row r="252" ht="15.75" customHeight="1">
      <c r="B252" s="44" t="s">
        <v>60</v>
      </c>
      <c r="C252" s="8">
        <v>1.0</v>
      </c>
      <c r="D252" s="38">
        <v>9.0</v>
      </c>
      <c r="E252" s="8">
        <v>1.0</v>
      </c>
      <c r="F252" s="8">
        <v>900.0</v>
      </c>
      <c r="G252" s="8">
        <v>329.0</v>
      </c>
      <c r="H252" s="8">
        <v>2.0</v>
      </c>
      <c r="I252" s="8">
        <v>1.0</v>
      </c>
      <c r="J252" s="5">
        <f t="shared" si="1"/>
        <v>9</v>
      </c>
      <c r="K252" s="8" t="s">
        <v>55</v>
      </c>
      <c r="L252" s="27">
        <v>43135.0</v>
      </c>
      <c r="M252" s="7"/>
      <c r="N252" s="7"/>
      <c r="O252" s="8" t="s">
        <v>25</v>
      </c>
      <c r="P252" s="8"/>
    </row>
    <row r="253" ht="15.75" customHeight="1">
      <c r="B253" s="44"/>
      <c r="C253" s="8"/>
      <c r="D253" s="8">
        <v>10.0</v>
      </c>
      <c r="E253" s="8"/>
      <c r="F253" s="8"/>
      <c r="G253" s="8"/>
      <c r="H253" s="8"/>
      <c r="I253" s="8"/>
      <c r="J253" s="5">
        <f t="shared" si="1"/>
        <v>0</v>
      </c>
      <c r="K253" s="8"/>
      <c r="L253" s="27">
        <v>43135.0</v>
      </c>
      <c r="M253" s="7"/>
      <c r="N253" s="7"/>
      <c r="O253" s="8" t="s">
        <v>25</v>
      </c>
      <c r="P253" s="8"/>
    </row>
    <row r="254" ht="15.75" customHeight="1">
      <c r="B254" s="44"/>
      <c r="C254" s="8"/>
      <c r="D254" s="8">
        <v>11.0</v>
      </c>
      <c r="E254" s="8"/>
      <c r="F254" s="8"/>
      <c r="G254" s="8"/>
      <c r="H254" s="8"/>
      <c r="I254" s="8"/>
      <c r="J254" s="5">
        <f t="shared" si="1"/>
        <v>0</v>
      </c>
      <c r="K254" s="8"/>
      <c r="L254" s="27">
        <v>43135.0</v>
      </c>
      <c r="M254" s="7"/>
      <c r="N254" s="7"/>
      <c r="O254" s="8" t="s">
        <v>25</v>
      </c>
      <c r="P254" s="8"/>
    </row>
    <row r="255" ht="15.75" customHeight="1">
      <c r="B255" s="45"/>
      <c r="C255" s="25"/>
      <c r="D255" s="25">
        <v>12.0</v>
      </c>
      <c r="E255" s="25"/>
      <c r="F255" s="25"/>
      <c r="G255" s="25"/>
      <c r="H255" s="25"/>
      <c r="I255" s="25"/>
      <c r="J255" s="5">
        <f t="shared" si="1"/>
        <v>0</v>
      </c>
      <c r="K255" s="25"/>
      <c r="L255" s="29">
        <v>43135.0</v>
      </c>
      <c r="M255" s="24"/>
      <c r="N255" s="24"/>
      <c r="O255" s="25" t="s">
        <v>25</v>
      </c>
      <c r="P255" s="25"/>
    </row>
    <row r="256" ht="15.75" customHeight="1">
      <c r="B256" s="44" t="s">
        <v>60</v>
      </c>
      <c r="C256" s="8">
        <v>1.0</v>
      </c>
      <c r="D256" s="8">
        <v>1.0</v>
      </c>
      <c r="E256" s="8">
        <v>1.0</v>
      </c>
      <c r="F256" s="8">
        <v>287.0</v>
      </c>
      <c r="G256" s="8">
        <v>129.0</v>
      </c>
      <c r="H256" s="8">
        <v>2.0</v>
      </c>
      <c r="I256" s="8">
        <v>1.0</v>
      </c>
      <c r="J256" s="5">
        <f t="shared" si="1"/>
        <v>2.87</v>
      </c>
      <c r="K256" s="8"/>
      <c r="L256" s="27">
        <v>43163.0</v>
      </c>
      <c r="M256" s="7"/>
      <c r="N256" s="7"/>
      <c r="O256" s="8" t="s">
        <v>25</v>
      </c>
      <c r="P256" s="8"/>
    </row>
    <row r="257" ht="15.75" customHeight="1">
      <c r="B257" s="44"/>
      <c r="C257" s="8"/>
      <c r="D257" s="38">
        <v>2.0</v>
      </c>
      <c r="E257" s="8"/>
      <c r="F257" s="8"/>
      <c r="G257" s="8"/>
      <c r="H257" s="8"/>
      <c r="I257" s="8"/>
      <c r="J257" s="5">
        <f t="shared" si="1"/>
        <v>0</v>
      </c>
      <c r="K257" s="8"/>
      <c r="L257" s="27">
        <v>43163.0</v>
      </c>
      <c r="M257" s="7"/>
      <c r="N257" s="7"/>
      <c r="O257" s="8" t="s">
        <v>25</v>
      </c>
      <c r="P257" s="8"/>
    </row>
    <row r="258" ht="15.75" customHeight="1">
      <c r="B258" s="44"/>
      <c r="C258" s="8"/>
      <c r="D258" s="38">
        <v>3.0</v>
      </c>
      <c r="E258" s="8"/>
      <c r="F258" s="8"/>
      <c r="G258" s="8"/>
      <c r="H258" s="8"/>
      <c r="I258" s="8"/>
      <c r="J258" s="5">
        <f t="shared" si="1"/>
        <v>0</v>
      </c>
      <c r="K258" s="8"/>
      <c r="L258" s="27">
        <v>43163.0</v>
      </c>
      <c r="M258" s="7"/>
      <c r="N258" s="7"/>
      <c r="O258" s="8" t="s">
        <v>25</v>
      </c>
      <c r="P258" s="8"/>
    </row>
    <row r="259" ht="15.75" customHeight="1">
      <c r="B259" s="44"/>
      <c r="C259" s="8"/>
      <c r="D259" s="38">
        <v>4.0</v>
      </c>
      <c r="E259" s="8"/>
      <c r="F259" s="8"/>
      <c r="G259" s="8"/>
      <c r="H259" s="8"/>
      <c r="I259" s="8"/>
      <c r="J259" s="5">
        <f t="shared" si="1"/>
        <v>0</v>
      </c>
      <c r="K259" s="8"/>
      <c r="L259" s="27">
        <v>43163.0</v>
      </c>
      <c r="M259" s="7"/>
      <c r="N259" s="7"/>
      <c r="O259" s="8" t="s">
        <v>25</v>
      </c>
      <c r="P259" s="8"/>
    </row>
    <row r="260" ht="15.75" customHeight="1">
      <c r="B260" s="44"/>
      <c r="C260" s="8"/>
      <c r="D260" s="8">
        <v>5.0</v>
      </c>
      <c r="E260" s="8"/>
      <c r="F260" s="8"/>
      <c r="G260" s="8"/>
      <c r="H260" s="8"/>
      <c r="I260" s="8"/>
      <c r="J260" s="5">
        <f t="shared" si="1"/>
        <v>0</v>
      </c>
      <c r="K260" s="8"/>
      <c r="L260" s="27">
        <v>43163.0</v>
      </c>
      <c r="M260" s="7"/>
      <c r="N260" s="7"/>
      <c r="O260" s="8" t="s">
        <v>25</v>
      </c>
      <c r="P260" s="8" t="s">
        <v>79</v>
      </c>
    </row>
    <row r="261" ht="15.75" customHeight="1">
      <c r="B261" s="44"/>
      <c r="C261" s="8"/>
      <c r="D261" s="8">
        <v>6.0</v>
      </c>
      <c r="E261" s="8"/>
      <c r="F261" s="8"/>
      <c r="G261" s="8"/>
      <c r="H261" s="8"/>
      <c r="I261" s="8"/>
      <c r="J261" s="5">
        <f t="shared" si="1"/>
        <v>0</v>
      </c>
      <c r="K261" s="8"/>
      <c r="L261" s="27">
        <v>43163.0</v>
      </c>
      <c r="M261" s="7"/>
      <c r="N261" s="7"/>
      <c r="O261" s="8" t="s">
        <v>25</v>
      </c>
      <c r="P261" s="8"/>
    </row>
    <row r="262" ht="15.75" customHeight="1">
      <c r="B262" s="44"/>
      <c r="C262" s="8"/>
      <c r="D262" s="38">
        <v>7.0</v>
      </c>
      <c r="E262" s="8"/>
      <c r="F262" s="8"/>
      <c r="G262" s="8"/>
      <c r="H262" s="8"/>
      <c r="I262" s="8"/>
      <c r="J262" s="5">
        <f t="shared" si="1"/>
        <v>0</v>
      </c>
      <c r="K262" s="8"/>
      <c r="L262" s="27">
        <v>43163.0</v>
      </c>
      <c r="M262" s="7"/>
      <c r="N262" s="7"/>
      <c r="O262" s="8" t="s">
        <v>25</v>
      </c>
      <c r="P262" s="8"/>
    </row>
    <row r="263" ht="15.75" customHeight="1">
      <c r="B263" s="44"/>
      <c r="C263" s="8"/>
      <c r="D263" s="38">
        <v>8.0</v>
      </c>
      <c r="E263" s="8"/>
      <c r="F263" s="8"/>
      <c r="G263" s="8"/>
      <c r="H263" s="8"/>
      <c r="I263" s="8"/>
      <c r="J263" s="5">
        <f t="shared" si="1"/>
        <v>0</v>
      </c>
      <c r="K263" s="8"/>
      <c r="L263" s="27">
        <v>43163.0</v>
      </c>
      <c r="M263" s="7"/>
      <c r="N263" s="7"/>
      <c r="O263" s="8" t="s">
        <v>25</v>
      </c>
      <c r="P263" s="8"/>
    </row>
    <row r="264" ht="15.75" customHeight="1">
      <c r="B264" s="44"/>
      <c r="C264" s="8"/>
      <c r="D264" s="38">
        <v>9.0</v>
      </c>
      <c r="E264" s="8"/>
      <c r="F264" s="8"/>
      <c r="G264" s="8"/>
      <c r="H264" s="8"/>
      <c r="I264" s="8"/>
      <c r="J264" s="5">
        <f t="shared" si="1"/>
        <v>0</v>
      </c>
      <c r="K264" s="8"/>
      <c r="L264" s="27">
        <v>43163.0</v>
      </c>
      <c r="M264" s="7"/>
      <c r="N264" s="7"/>
      <c r="O264" s="8" t="s">
        <v>25</v>
      </c>
      <c r="P264" s="8"/>
    </row>
    <row r="265" ht="15.75" customHeight="1">
      <c r="B265" s="44"/>
      <c r="C265" s="8"/>
      <c r="D265" s="8">
        <v>11.0</v>
      </c>
      <c r="E265" s="8"/>
      <c r="F265" s="8"/>
      <c r="G265" s="8"/>
      <c r="H265" s="8"/>
      <c r="I265" s="8"/>
      <c r="J265" s="5">
        <f t="shared" si="1"/>
        <v>0</v>
      </c>
      <c r="K265" s="8"/>
      <c r="L265" s="27">
        <v>43163.0</v>
      </c>
      <c r="M265" s="7"/>
      <c r="N265" s="7"/>
      <c r="O265" s="8" t="s">
        <v>25</v>
      </c>
      <c r="P265" s="8"/>
    </row>
    <row r="266" ht="15.75" customHeight="1">
      <c r="B266" s="44"/>
      <c r="C266" s="8"/>
      <c r="D266" s="8">
        <v>10.0</v>
      </c>
      <c r="E266" s="8"/>
      <c r="F266" s="8"/>
      <c r="G266" s="8"/>
      <c r="H266" s="8"/>
      <c r="I266" s="8"/>
      <c r="J266" s="5">
        <f t="shared" si="1"/>
        <v>0</v>
      </c>
      <c r="K266" s="8"/>
      <c r="L266" s="27">
        <v>43163.0</v>
      </c>
      <c r="M266" s="7"/>
      <c r="N266" s="7"/>
      <c r="O266" s="8" t="s">
        <v>25</v>
      </c>
      <c r="P266" s="8"/>
    </row>
    <row r="267" ht="15.75" customHeight="1">
      <c r="B267" s="45"/>
      <c r="C267" s="25"/>
      <c r="D267" s="25">
        <v>12.0</v>
      </c>
      <c r="E267" s="25"/>
      <c r="F267" s="25"/>
      <c r="G267" s="25"/>
      <c r="H267" s="25"/>
      <c r="I267" s="25"/>
      <c r="J267" s="5">
        <f t="shared" si="1"/>
        <v>0</v>
      </c>
      <c r="K267" s="25"/>
      <c r="L267" s="29">
        <v>43163.0</v>
      </c>
      <c r="M267" s="24"/>
      <c r="N267" s="24"/>
      <c r="O267" s="25" t="s">
        <v>25</v>
      </c>
      <c r="P267" s="25"/>
    </row>
    <row r="268" ht="15.75" customHeight="1">
      <c r="B268" s="44"/>
      <c r="C268" s="8"/>
      <c r="D268" s="8">
        <v>1.0</v>
      </c>
      <c r="E268" s="8"/>
      <c r="F268" s="8"/>
      <c r="G268" s="8"/>
      <c r="H268" s="8"/>
      <c r="I268" s="8"/>
      <c r="J268" s="5">
        <f t="shared" si="1"/>
        <v>0</v>
      </c>
      <c r="K268" s="8"/>
      <c r="L268" s="27">
        <v>43219.0</v>
      </c>
      <c r="M268" s="7"/>
      <c r="N268" s="7"/>
      <c r="O268" s="8" t="s">
        <v>74</v>
      </c>
      <c r="P268" s="8"/>
    </row>
    <row r="269" ht="15.75" customHeight="1">
      <c r="B269" s="44"/>
      <c r="C269" s="8"/>
      <c r="D269" s="38">
        <v>2.0</v>
      </c>
      <c r="E269" s="8"/>
      <c r="F269" s="8"/>
      <c r="G269" s="8"/>
      <c r="H269" s="8"/>
      <c r="I269" s="8"/>
      <c r="J269" s="5">
        <f t="shared" si="1"/>
        <v>0</v>
      </c>
      <c r="K269" s="8"/>
      <c r="L269" s="27">
        <v>43219.0</v>
      </c>
      <c r="M269" s="7"/>
      <c r="N269" s="7"/>
      <c r="O269" s="8" t="s">
        <v>74</v>
      </c>
      <c r="P269" s="8"/>
    </row>
    <row r="270" ht="15.75" customHeight="1">
      <c r="B270" s="44" t="s">
        <v>60</v>
      </c>
      <c r="C270" s="8">
        <v>1.0</v>
      </c>
      <c r="D270" s="38">
        <v>3.0</v>
      </c>
      <c r="E270" s="8">
        <v>1.0</v>
      </c>
      <c r="F270" s="8">
        <v>500.0</v>
      </c>
      <c r="G270" s="8">
        <v>180.0</v>
      </c>
      <c r="H270" s="8">
        <v>5.0</v>
      </c>
      <c r="I270" s="8">
        <v>1.0</v>
      </c>
      <c r="J270" s="5">
        <f t="shared" si="1"/>
        <v>5</v>
      </c>
      <c r="K270" s="8"/>
      <c r="L270" s="27">
        <v>43219.0</v>
      </c>
      <c r="M270" s="7"/>
      <c r="N270" s="7"/>
      <c r="O270" s="8" t="s">
        <v>25</v>
      </c>
      <c r="P270" s="8"/>
      <c r="R270" s="1"/>
    </row>
    <row r="271" ht="15.75" customHeight="1">
      <c r="B271" s="44"/>
      <c r="C271" s="8"/>
      <c r="D271" s="38">
        <v>4.0</v>
      </c>
      <c r="E271" s="8"/>
      <c r="F271" s="8"/>
      <c r="G271" s="8"/>
      <c r="H271" s="8"/>
      <c r="I271" s="8"/>
      <c r="J271" s="5">
        <f t="shared" si="1"/>
        <v>0</v>
      </c>
      <c r="K271" s="8"/>
      <c r="L271" s="27">
        <v>43219.0</v>
      </c>
      <c r="M271" s="7"/>
      <c r="N271" s="7"/>
      <c r="O271" s="8" t="s">
        <v>25</v>
      </c>
      <c r="P271" s="8"/>
      <c r="R271" s="9"/>
    </row>
    <row r="272" ht="15.75" customHeight="1">
      <c r="B272" s="44"/>
      <c r="C272" s="8"/>
      <c r="D272" s="8">
        <v>5.0</v>
      </c>
      <c r="E272" s="8"/>
      <c r="F272" s="8"/>
      <c r="G272" s="8"/>
      <c r="H272" s="8"/>
      <c r="I272" s="8"/>
      <c r="J272" s="5">
        <f t="shared" si="1"/>
        <v>0</v>
      </c>
      <c r="K272" s="8"/>
      <c r="L272" s="27">
        <v>43219.0</v>
      </c>
      <c r="M272" s="7"/>
      <c r="N272" s="7"/>
      <c r="O272" s="8" t="s">
        <v>25</v>
      </c>
      <c r="P272" s="8"/>
    </row>
    <row r="273" ht="15.75" customHeight="1">
      <c r="B273" s="44"/>
      <c r="C273" s="8"/>
      <c r="D273" s="8">
        <v>6.0</v>
      </c>
      <c r="E273" s="8"/>
      <c r="F273" s="8"/>
      <c r="G273" s="8"/>
      <c r="H273" s="8"/>
      <c r="I273" s="8"/>
      <c r="J273" s="5">
        <f t="shared" si="1"/>
        <v>0</v>
      </c>
      <c r="K273" s="8"/>
      <c r="L273" s="27">
        <v>43219.0</v>
      </c>
      <c r="M273" s="7"/>
      <c r="N273" s="7"/>
      <c r="O273" s="8" t="s">
        <v>25</v>
      </c>
      <c r="P273" s="8"/>
    </row>
    <row r="274" ht="15.75" customHeight="1">
      <c r="B274" s="44"/>
      <c r="C274" s="8"/>
      <c r="D274" s="38">
        <v>7.0</v>
      </c>
      <c r="E274" s="8"/>
      <c r="F274" s="8"/>
      <c r="G274" s="8"/>
      <c r="H274" s="8"/>
      <c r="I274" s="8"/>
      <c r="J274" s="5">
        <f t="shared" si="1"/>
        <v>0</v>
      </c>
      <c r="K274" s="8"/>
      <c r="L274" s="27">
        <v>43219.0</v>
      </c>
      <c r="M274" s="7"/>
      <c r="N274" s="7"/>
      <c r="O274" s="8" t="s">
        <v>25</v>
      </c>
      <c r="P274" s="8"/>
    </row>
    <row r="275" ht="15.75" customHeight="1">
      <c r="B275" s="44"/>
      <c r="C275" s="8"/>
      <c r="D275" s="38">
        <v>8.0</v>
      </c>
      <c r="E275" s="8"/>
      <c r="F275" s="8"/>
      <c r="G275" s="8"/>
      <c r="H275" s="8"/>
      <c r="I275" s="8"/>
      <c r="J275" s="5">
        <f t="shared" si="1"/>
        <v>0</v>
      </c>
      <c r="K275" s="8"/>
      <c r="L275" s="27">
        <v>43219.0</v>
      </c>
      <c r="M275" s="7"/>
      <c r="N275" s="7"/>
      <c r="O275" s="8" t="s">
        <v>25</v>
      </c>
      <c r="P275" s="8"/>
    </row>
    <row r="276" ht="15.75" customHeight="1">
      <c r="B276" s="44" t="s">
        <v>60</v>
      </c>
      <c r="C276" s="8">
        <v>1.0</v>
      </c>
      <c r="D276" s="38">
        <v>9.0</v>
      </c>
      <c r="E276" s="8">
        <v>1.0</v>
      </c>
      <c r="F276" s="8">
        <v>1100.0</v>
      </c>
      <c r="G276" s="8">
        <v>210.0</v>
      </c>
      <c r="H276" s="8">
        <v>2.0</v>
      </c>
      <c r="I276" s="8">
        <v>1.0</v>
      </c>
      <c r="J276" s="5">
        <f t="shared" si="1"/>
        <v>11</v>
      </c>
      <c r="K276" s="8"/>
      <c r="L276" s="27">
        <v>43219.0</v>
      </c>
      <c r="M276" s="7"/>
      <c r="N276" s="7"/>
      <c r="O276" s="8" t="s">
        <v>25</v>
      </c>
      <c r="P276" s="8"/>
    </row>
    <row r="277" ht="15.75" customHeight="1">
      <c r="B277" s="44"/>
      <c r="C277" s="8"/>
      <c r="D277" s="8">
        <v>11.0</v>
      </c>
      <c r="E277" s="8"/>
      <c r="F277" s="8"/>
      <c r="G277" s="8"/>
      <c r="H277" s="8"/>
      <c r="I277" s="8"/>
      <c r="J277" s="5">
        <f t="shared" si="1"/>
        <v>0</v>
      </c>
      <c r="K277" s="8"/>
      <c r="L277" s="27">
        <v>43219.0</v>
      </c>
      <c r="M277" s="7"/>
      <c r="N277" s="7"/>
      <c r="O277" s="8" t="s">
        <v>25</v>
      </c>
      <c r="P277" s="8"/>
    </row>
    <row r="278" ht="15.75" customHeight="1">
      <c r="B278" s="44"/>
      <c r="C278" s="8"/>
      <c r="D278" s="8">
        <v>10.0</v>
      </c>
      <c r="E278" s="8"/>
      <c r="F278" s="8"/>
      <c r="G278" s="8"/>
      <c r="H278" s="8"/>
      <c r="I278" s="8"/>
      <c r="J278" s="5">
        <f t="shared" si="1"/>
        <v>0</v>
      </c>
      <c r="K278" s="8"/>
      <c r="L278" s="27">
        <v>43219.0</v>
      </c>
      <c r="M278" s="7"/>
      <c r="N278" s="7"/>
      <c r="O278" s="8" t="s">
        <v>25</v>
      </c>
      <c r="P278" s="8"/>
    </row>
    <row r="279" ht="15.75" customHeight="1">
      <c r="B279" s="44"/>
      <c r="C279" s="8"/>
      <c r="D279" s="8">
        <v>12.0</v>
      </c>
      <c r="E279" s="8"/>
      <c r="F279" s="8"/>
      <c r="G279" s="8"/>
      <c r="H279" s="8"/>
      <c r="I279" s="8"/>
      <c r="J279" s="5">
        <f t="shared" si="1"/>
        <v>0</v>
      </c>
      <c r="K279" s="8"/>
      <c r="L279" s="27">
        <v>43219.0</v>
      </c>
      <c r="M279" s="7"/>
      <c r="N279" s="7"/>
      <c r="O279" s="8" t="s">
        <v>25</v>
      </c>
      <c r="P279" s="8"/>
    </row>
    <row r="280" ht="15.75" customHeight="1">
      <c r="B280" s="39"/>
    </row>
    <row r="281" ht="15.75" customHeight="1">
      <c r="B281" s="39"/>
      <c r="J281" s="5" t="s">
        <v>83</v>
      </c>
      <c r="L281" s="46">
        <v>0.05</v>
      </c>
    </row>
    <row r="282" ht="15.75" customHeight="1">
      <c r="B282" s="39"/>
      <c r="J282" s="5">
        <v>101.0</v>
      </c>
      <c r="K282" s="5">
        <v>0.05</v>
      </c>
      <c r="L282" s="5">
        <f>J282*K282</f>
        <v>5.05</v>
      </c>
    </row>
    <row r="283" ht="15.75" customHeight="1">
      <c r="B283" s="39"/>
      <c r="K283" s="5" t="s">
        <v>84</v>
      </c>
      <c r="L283" s="5">
        <v>13.0</v>
      </c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>
      <c r="B386" s="39"/>
    </row>
    <row r="387" ht="15.75" customHeight="1">
      <c r="B387" s="39"/>
    </row>
    <row r="388" ht="15.75" customHeight="1">
      <c r="B388" s="39"/>
    </row>
    <row r="389" ht="15.75" customHeight="1">
      <c r="B389" s="39"/>
    </row>
    <row r="390" ht="15.75" customHeight="1">
      <c r="B390" s="39"/>
    </row>
    <row r="391" ht="15.75" customHeight="1">
      <c r="B391" s="39"/>
    </row>
    <row r="392" ht="15.75" customHeight="1">
      <c r="B392" s="39"/>
    </row>
    <row r="393" ht="15.75" customHeight="1">
      <c r="B393" s="39"/>
    </row>
    <row r="394" ht="15.75" customHeight="1">
      <c r="B394" s="39"/>
    </row>
    <row r="395" ht="15.75" customHeight="1">
      <c r="B395" s="39"/>
    </row>
    <row r="396" ht="15.75" customHeight="1">
      <c r="B396" s="39"/>
    </row>
    <row r="397" ht="15.75" customHeight="1">
      <c r="B397" s="39"/>
    </row>
    <row r="398" ht="15.75" customHeight="1">
      <c r="B398" s="39"/>
    </row>
    <row r="399" ht="15.75" customHeight="1">
      <c r="B399" s="39"/>
    </row>
    <row r="400" ht="15.75" customHeight="1">
      <c r="B400" s="39"/>
    </row>
    <row r="401" ht="15.75" customHeight="1">
      <c r="B401" s="39"/>
    </row>
    <row r="402" ht="15.75" customHeight="1">
      <c r="B402" s="39"/>
    </row>
    <row r="403" ht="15.75" customHeight="1">
      <c r="B403" s="39"/>
    </row>
    <row r="404" ht="15.75" customHeight="1">
      <c r="B404" s="39"/>
    </row>
    <row r="405" ht="15.75" customHeight="1">
      <c r="B405" s="39"/>
    </row>
    <row r="406" ht="15.75" customHeight="1">
      <c r="B406" s="39"/>
    </row>
    <row r="407" ht="15.75" customHeight="1">
      <c r="B407" s="39"/>
    </row>
    <row r="408" ht="15.75" customHeight="1">
      <c r="B408" s="39"/>
    </row>
    <row r="409" ht="15.75" customHeight="1">
      <c r="B409" s="39"/>
    </row>
    <row r="410" ht="15.75" customHeight="1">
      <c r="B410" s="39"/>
    </row>
    <row r="411" ht="15.75" customHeight="1">
      <c r="B411" s="39"/>
    </row>
    <row r="412" ht="15.75" customHeight="1">
      <c r="B412" s="39"/>
    </row>
    <row r="413" ht="15.75" customHeight="1">
      <c r="B413" s="39"/>
    </row>
    <row r="414" ht="15.75" customHeight="1">
      <c r="B414" s="39"/>
    </row>
    <row r="415" ht="15.75" customHeight="1">
      <c r="B415" s="39"/>
    </row>
    <row r="416" ht="15.75" customHeight="1">
      <c r="B416" s="39"/>
    </row>
    <row r="417" ht="15.75" customHeight="1">
      <c r="B417" s="39"/>
    </row>
    <row r="418" ht="15.75" customHeight="1">
      <c r="B418" s="39"/>
    </row>
    <row r="419" ht="15.75" customHeight="1">
      <c r="B419" s="39"/>
    </row>
    <row r="420" ht="15.75" customHeight="1">
      <c r="B420" s="39"/>
    </row>
    <row r="421" ht="15.75" customHeight="1">
      <c r="B421" s="39"/>
    </row>
    <row r="422" ht="15.75" customHeight="1">
      <c r="B422" s="39"/>
    </row>
    <row r="423" ht="15.75" customHeight="1">
      <c r="B423" s="39"/>
    </row>
    <row r="424" ht="15.75" customHeight="1">
      <c r="B424" s="39"/>
    </row>
    <row r="425" ht="15.75" customHeight="1">
      <c r="B425" s="39"/>
    </row>
    <row r="426" ht="15.75" customHeight="1">
      <c r="B426" s="39"/>
    </row>
    <row r="427" ht="15.75" customHeight="1">
      <c r="B427" s="39"/>
    </row>
    <row r="428" ht="15.75" customHeight="1">
      <c r="B428" s="39"/>
    </row>
    <row r="429" ht="15.75" customHeight="1">
      <c r="B429" s="39"/>
    </row>
    <row r="430" ht="15.75" customHeight="1">
      <c r="B430" s="39"/>
    </row>
    <row r="431" ht="15.75" customHeight="1">
      <c r="B431" s="39"/>
    </row>
    <row r="432" ht="15.75" customHeight="1">
      <c r="B432" s="39"/>
    </row>
    <row r="433" ht="15.75" customHeight="1">
      <c r="B433" s="39"/>
    </row>
    <row r="434" ht="15.75" customHeight="1">
      <c r="B434" s="39"/>
    </row>
    <row r="435" ht="15.75" customHeight="1">
      <c r="B435" s="39"/>
    </row>
    <row r="436" ht="15.75" customHeight="1">
      <c r="B436" s="39"/>
    </row>
    <row r="437" ht="15.75" customHeight="1">
      <c r="B437" s="39"/>
    </row>
    <row r="438" ht="15.75" customHeight="1">
      <c r="B438" s="39"/>
    </row>
    <row r="439" ht="15.75" customHeight="1">
      <c r="B439" s="39"/>
    </row>
    <row r="440" ht="15.75" customHeight="1">
      <c r="B440" s="39"/>
    </row>
    <row r="441" ht="15.75" customHeight="1">
      <c r="B441" s="39"/>
    </row>
    <row r="442" ht="15.75" customHeight="1">
      <c r="B442" s="39"/>
    </row>
    <row r="443" ht="15.75" customHeight="1">
      <c r="B443" s="39"/>
    </row>
    <row r="444" ht="15.75" customHeight="1">
      <c r="B444" s="39"/>
    </row>
    <row r="445" ht="15.75" customHeight="1">
      <c r="B445" s="39"/>
    </row>
    <row r="446" ht="15.75" customHeight="1">
      <c r="B446" s="39"/>
    </row>
    <row r="447" ht="15.75" customHeight="1">
      <c r="B447" s="39"/>
    </row>
    <row r="448" ht="15.75" customHeight="1">
      <c r="B448" s="39"/>
    </row>
    <row r="449" ht="15.75" customHeight="1">
      <c r="B449" s="39"/>
    </row>
    <row r="450" ht="15.75" customHeight="1">
      <c r="B450" s="39"/>
    </row>
    <row r="451" ht="15.75" customHeight="1">
      <c r="B451" s="39"/>
    </row>
    <row r="452" ht="15.75" customHeight="1">
      <c r="B452" s="39"/>
    </row>
    <row r="453" ht="15.75" customHeight="1">
      <c r="B453" s="39"/>
    </row>
    <row r="454" ht="15.75" customHeight="1">
      <c r="B454" s="39"/>
    </row>
    <row r="455" ht="15.75" customHeight="1">
      <c r="B455" s="39"/>
    </row>
    <row r="456" ht="15.75" customHeight="1">
      <c r="B456" s="39"/>
    </row>
    <row r="457" ht="15.75" customHeight="1">
      <c r="B457" s="39"/>
    </row>
    <row r="458" ht="15.75" customHeight="1">
      <c r="B458" s="39"/>
    </row>
    <row r="459" ht="15.75" customHeight="1">
      <c r="B459" s="39"/>
    </row>
    <row r="460" ht="15.75" customHeight="1">
      <c r="B460" s="39"/>
    </row>
    <row r="461" ht="15.75" customHeight="1">
      <c r="B461" s="39"/>
    </row>
    <row r="462" ht="15.75" customHeight="1">
      <c r="B462" s="39"/>
    </row>
    <row r="463" ht="15.75" customHeight="1">
      <c r="B463" s="39"/>
    </row>
    <row r="464" ht="15.75" customHeight="1">
      <c r="B464" s="39"/>
    </row>
    <row r="465" ht="15.75" customHeight="1">
      <c r="B465" s="39"/>
    </row>
    <row r="466" ht="15.75" customHeight="1">
      <c r="B466" s="39"/>
    </row>
    <row r="467" ht="15.75" customHeight="1">
      <c r="B467" s="39"/>
    </row>
    <row r="468" ht="15.75" customHeight="1">
      <c r="B468" s="39"/>
    </row>
    <row r="469" ht="15.75" customHeight="1">
      <c r="B469" s="39"/>
    </row>
    <row r="470" ht="15.75" customHeight="1">
      <c r="B470" s="39"/>
    </row>
    <row r="471" ht="15.75" customHeight="1">
      <c r="B471" s="39"/>
    </row>
    <row r="472" ht="15.75" customHeight="1">
      <c r="B472" s="39"/>
    </row>
    <row r="473" ht="15.75" customHeight="1">
      <c r="B473" s="39"/>
    </row>
    <row r="474" ht="15.75" customHeight="1">
      <c r="B474" s="39"/>
    </row>
    <row r="475" ht="15.75" customHeight="1">
      <c r="B475" s="39"/>
    </row>
    <row r="476" ht="15.75" customHeight="1">
      <c r="B476" s="39"/>
    </row>
    <row r="477" ht="15.75" customHeight="1">
      <c r="B477" s="39"/>
    </row>
    <row r="478" ht="15.75" customHeight="1">
      <c r="B478" s="39"/>
    </row>
    <row r="479" ht="15.75" customHeight="1">
      <c r="B479" s="39"/>
    </row>
    <row r="480" ht="15.75" customHeight="1">
      <c r="B480" s="39"/>
    </row>
    <row r="481" ht="15.75" customHeight="1">
      <c r="B481" s="39"/>
    </row>
    <row r="482" ht="15.75" customHeight="1">
      <c r="B482" s="39"/>
    </row>
    <row r="483" ht="15.75" customHeight="1">
      <c r="B483" s="39"/>
    </row>
    <row r="484" ht="15.75" customHeight="1">
      <c r="B484" s="39"/>
    </row>
    <row r="485" ht="15.75" customHeight="1">
      <c r="B485" s="39"/>
    </row>
    <row r="486" ht="15.75" customHeight="1">
      <c r="B486" s="39"/>
    </row>
    <row r="487" ht="15.75" customHeight="1">
      <c r="B487" s="39"/>
    </row>
    <row r="488" ht="15.75" customHeight="1">
      <c r="B488" s="39"/>
    </row>
    <row r="489" ht="15.75" customHeight="1">
      <c r="B489" s="39"/>
    </row>
    <row r="490" ht="15.75" customHeight="1">
      <c r="B490" s="39"/>
    </row>
    <row r="491" ht="15.75" customHeight="1">
      <c r="B491" s="39"/>
    </row>
    <row r="492" ht="15.75" customHeight="1">
      <c r="B492" s="39"/>
    </row>
    <row r="493" ht="15.75" customHeight="1">
      <c r="B493" s="39"/>
    </row>
    <row r="494" ht="15.75" customHeight="1">
      <c r="B494" s="39"/>
    </row>
    <row r="495" ht="15.75" customHeight="1">
      <c r="B495" s="39"/>
    </row>
    <row r="496" ht="15.75" customHeight="1">
      <c r="B496" s="39"/>
    </row>
    <row r="497" ht="15.75" customHeight="1">
      <c r="B497" s="39"/>
    </row>
    <row r="498" ht="15.75" customHeight="1">
      <c r="B498" s="39"/>
    </row>
    <row r="499" ht="15.75" customHeight="1">
      <c r="B499" s="39"/>
    </row>
    <row r="500" ht="15.75" customHeight="1">
      <c r="B500" s="39"/>
    </row>
    <row r="501" ht="15.75" customHeight="1">
      <c r="B501" s="39"/>
    </row>
    <row r="502" ht="15.75" customHeight="1">
      <c r="B502" s="39"/>
    </row>
    <row r="503" ht="15.75" customHeight="1">
      <c r="B503" s="39"/>
    </row>
    <row r="504" ht="15.75" customHeight="1">
      <c r="B504" s="39"/>
    </row>
    <row r="505" ht="15.75" customHeight="1">
      <c r="B505" s="39"/>
    </row>
    <row r="506" ht="15.75" customHeight="1">
      <c r="B506" s="39"/>
    </row>
    <row r="507" ht="15.75" customHeight="1">
      <c r="B507" s="39"/>
    </row>
    <row r="508" ht="15.75" customHeight="1">
      <c r="B508" s="39"/>
    </row>
    <row r="509" ht="15.75" customHeight="1">
      <c r="B509" s="39"/>
    </row>
    <row r="510" ht="15.75" customHeight="1">
      <c r="B510" s="39"/>
    </row>
    <row r="511" ht="15.75" customHeight="1">
      <c r="B511" s="39"/>
    </row>
    <row r="512" ht="15.75" customHeight="1">
      <c r="B512" s="39"/>
    </row>
    <row r="513" ht="15.75" customHeight="1">
      <c r="B513" s="39"/>
    </row>
    <row r="514" ht="15.75" customHeight="1">
      <c r="B514" s="39"/>
    </row>
    <row r="515" ht="15.75" customHeight="1">
      <c r="B515" s="39"/>
    </row>
    <row r="516" ht="15.75" customHeight="1">
      <c r="B516" s="39"/>
    </row>
    <row r="517" ht="15.75" customHeight="1">
      <c r="B517" s="39"/>
    </row>
    <row r="518" ht="15.75" customHeight="1">
      <c r="B518" s="39"/>
    </row>
    <row r="519" ht="15.75" customHeight="1">
      <c r="B519" s="39"/>
    </row>
    <row r="520" ht="15.75" customHeight="1">
      <c r="B520" s="39"/>
    </row>
    <row r="521" ht="15.75" customHeight="1">
      <c r="B521" s="39"/>
    </row>
    <row r="522" ht="15.75" customHeight="1">
      <c r="B522" s="39"/>
    </row>
    <row r="523" ht="15.75" customHeight="1">
      <c r="B523" s="39"/>
    </row>
    <row r="524" ht="15.75" customHeight="1">
      <c r="B524" s="39"/>
    </row>
    <row r="525" ht="15.75" customHeight="1">
      <c r="B525" s="39"/>
    </row>
    <row r="526" ht="15.75" customHeight="1">
      <c r="B526" s="39"/>
    </row>
    <row r="527" ht="15.75" customHeight="1">
      <c r="B527" s="39"/>
    </row>
    <row r="528" ht="15.75" customHeight="1">
      <c r="B528" s="39"/>
    </row>
    <row r="529" ht="15.75" customHeight="1">
      <c r="B529" s="39"/>
    </row>
    <row r="530" ht="15.75" customHeight="1">
      <c r="B530" s="39"/>
    </row>
    <row r="531" ht="15.75" customHeight="1">
      <c r="B531" s="39"/>
    </row>
    <row r="532" ht="15.75" customHeight="1">
      <c r="B532" s="39"/>
    </row>
    <row r="533" ht="15.75" customHeight="1">
      <c r="B533" s="39"/>
    </row>
    <row r="534" ht="15.75" customHeight="1">
      <c r="B534" s="39"/>
    </row>
    <row r="535" ht="15.75" customHeight="1">
      <c r="B535" s="39"/>
    </row>
    <row r="536" ht="15.75" customHeight="1">
      <c r="B536" s="39"/>
    </row>
    <row r="537" ht="15.75" customHeight="1">
      <c r="B537" s="39"/>
    </row>
    <row r="538" ht="15.75" customHeight="1">
      <c r="B538" s="39"/>
    </row>
    <row r="539" ht="15.75" customHeight="1">
      <c r="B539" s="39"/>
    </row>
    <row r="540" ht="15.75" customHeight="1">
      <c r="B540" s="39"/>
    </row>
    <row r="541" ht="15.75" customHeight="1">
      <c r="B541" s="39"/>
    </row>
    <row r="542" ht="15.75" customHeight="1">
      <c r="B542" s="39"/>
    </row>
    <row r="543" ht="15.75" customHeight="1">
      <c r="B543" s="39"/>
    </row>
    <row r="544" ht="15.75" customHeight="1">
      <c r="B544" s="39"/>
    </row>
    <row r="545" ht="15.75" customHeight="1">
      <c r="B545" s="39"/>
    </row>
    <row r="546" ht="15.75" customHeight="1">
      <c r="B546" s="39"/>
    </row>
    <row r="547" ht="15.75" customHeight="1">
      <c r="B547" s="39"/>
    </row>
    <row r="548" ht="15.75" customHeight="1">
      <c r="B548" s="39"/>
    </row>
    <row r="549" ht="15.75" customHeight="1">
      <c r="B549" s="39"/>
    </row>
    <row r="550" ht="15.75" customHeight="1">
      <c r="B550" s="39"/>
    </row>
    <row r="551" ht="15.75" customHeight="1">
      <c r="B551" s="39"/>
    </row>
    <row r="552" ht="15.75" customHeight="1">
      <c r="B552" s="39"/>
    </row>
    <row r="553" ht="15.75" customHeight="1">
      <c r="B553" s="39"/>
    </row>
    <row r="554" ht="15.75" customHeight="1">
      <c r="B554" s="39"/>
    </row>
    <row r="555" ht="15.75" customHeight="1">
      <c r="B555" s="39"/>
    </row>
    <row r="556" ht="15.75" customHeight="1">
      <c r="B556" s="39"/>
    </row>
    <row r="557" ht="15.75" customHeight="1">
      <c r="B557" s="39"/>
    </row>
    <row r="558" ht="15.75" customHeight="1">
      <c r="B558" s="39"/>
    </row>
    <row r="559" ht="15.75" customHeight="1">
      <c r="B559" s="39"/>
    </row>
    <row r="560" ht="15.75" customHeight="1">
      <c r="B560" s="39"/>
    </row>
    <row r="561" ht="15.75" customHeight="1">
      <c r="B561" s="39"/>
    </row>
    <row r="562" ht="15.75" customHeight="1">
      <c r="B562" s="39"/>
    </row>
    <row r="563" ht="15.75" customHeight="1">
      <c r="B563" s="39"/>
    </row>
    <row r="564" ht="15.75" customHeight="1">
      <c r="B564" s="39"/>
    </row>
    <row r="565" ht="15.75" customHeight="1">
      <c r="B565" s="39"/>
    </row>
    <row r="566" ht="15.75" customHeight="1">
      <c r="B566" s="39"/>
    </row>
    <row r="567" ht="15.75" customHeight="1">
      <c r="B567" s="39"/>
    </row>
    <row r="568" ht="15.75" customHeight="1">
      <c r="B568" s="39"/>
    </row>
    <row r="569" ht="15.75" customHeight="1">
      <c r="B569" s="39"/>
    </row>
    <row r="570" ht="15.75" customHeight="1">
      <c r="B570" s="39"/>
    </row>
    <row r="571" ht="15.75" customHeight="1">
      <c r="B571" s="39"/>
    </row>
    <row r="572" ht="15.75" customHeight="1">
      <c r="B572" s="39"/>
    </row>
    <row r="573" ht="15.75" customHeight="1">
      <c r="B573" s="39"/>
    </row>
    <row r="574" ht="15.75" customHeight="1">
      <c r="B574" s="39"/>
    </row>
    <row r="575" ht="15.75" customHeight="1">
      <c r="B575" s="39"/>
    </row>
    <row r="576" ht="15.75" customHeight="1">
      <c r="B576" s="39"/>
    </row>
    <row r="577" ht="15.75" customHeight="1">
      <c r="B577" s="39"/>
    </row>
    <row r="578" ht="15.75" customHeight="1">
      <c r="B578" s="39"/>
    </row>
    <row r="579" ht="15.75" customHeight="1">
      <c r="B579" s="39"/>
    </row>
    <row r="580" ht="15.75" customHeight="1">
      <c r="B580" s="39"/>
    </row>
    <row r="581" ht="15.75" customHeight="1">
      <c r="B581" s="39"/>
    </row>
    <row r="582" ht="15.75" customHeight="1">
      <c r="B582" s="39"/>
    </row>
    <row r="583" ht="15.75" customHeight="1">
      <c r="B583" s="39"/>
    </row>
    <row r="584" ht="15.75" customHeight="1">
      <c r="B584" s="39"/>
    </row>
    <row r="585" ht="15.75" customHeight="1">
      <c r="B585" s="39"/>
    </row>
    <row r="586" ht="15.75" customHeight="1">
      <c r="B586" s="39"/>
    </row>
    <row r="587" ht="15.75" customHeight="1">
      <c r="B587" s="39"/>
    </row>
    <row r="588" ht="15.75" customHeight="1">
      <c r="B588" s="39"/>
    </row>
    <row r="589" ht="15.75" customHeight="1">
      <c r="B589" s="39"/>
    </row>
    <row r="590" ht="15.75" customHeight="1">
      <c r="B590" s="39"/>
    </row>
    <row r="591" ht="15.75" customHeight="1">
      <c r="B591" s="39"/>
    </row>
    <row r="592" ht="15.75" customHeight="1">
      <c r="B592" s="39"/>
    </row>
    <row r="593" ht="15.75" customHeight="1">
      <c r="B593" s="39"/>
    </row>
    <row r="594" ht="15.75" customHeight="1">
      <c r="B594" s="39"/>
    </row>
    <row r="595" ht="15.75" customHeight="1">
      <c r="B595" s="39"/>
    </row>
    <row r="596" ht="15.75" customHeight="1">
      <c r="B596" s="39"/>
    </row>
    <row r="597" ht="15.75" customHeight="1">
      <c r="B597" s="39"/>
    </row>
    <row r="598" ht="15.75" customHeight="1">
      <c r="B598" s="39"/>
    </row>
    <row r="599" ht="15.75" customHeight="1">
      <c r="B599" s="39"/>
    </row>
    <row r="600" ht="15.75" customHeight="1">
      <c r="B600" s="39"/>
    </row>
    <row r="601" ht="15.75" customHeight="1">
      <c r="B601" s="39"/>
    </row>
    <row r="602" ht="15.75" customHeight="1">
      <c r="B602" s="39"/>
    </row>
    <row r="603" ht="15.75" customHeight="1">
      <c r="B603" s="39"/>
    </row>
    <row r="604" ht="15.75" customHeight="1">
      <c r="B604" s="39"/>
    </row>
    <row r="605" ht="15.75" customHeight="1">
      <c r="B605" s="39"/>
    </row>
    <row r="606" ht="15.75" customHeight="1">
      <c r="B606" s="39"/>
    </row>
    <row r="607" ht="15.75" customHeight="1">
      <c r="B607" s="39"/>
    </row>
    <row r="608" ht="15.75" customHeight="1">
      <c r="B608" s="39"/>
    </row>
    <row r="609" ht="15.75" customHeight="1">
      <c r="B609" s="39"/>
    </row>
    <row r="610" ht="15.75" customHeight="1">
      <c r="B610" s="39"/>
    </row>
    <row r="611" ht="15.75" customHeight="1">
      <c r="B611" s="39"/>
    </row>
    <row r="612" ht="15.75" customHeight="1">
      <c r="B612" s="39"/>
    </row>
    <row r="613" ht="15.75" customHeight="1">
      <c r="B613" s="39"/>
    </row>
    <row r="614" ht="15.75" customHeight="1">
      <c r="B614" s="39"/>
    </row>
    <row r="615" ht="15.75" customHeight="1">
      <c r="B615" s="39"/>
    </row>
    <row r="616" ht="15.75" customHeight="1">
      <c r="B616" s="39"/>
    </row>
    <row r="617" ht="15.75" customHeight="1">
      <c r="B617" s="39"/>
    </row>
    <row r="618" ht="15.75" customHeight="1">
      <c r="B618" s="39"/>
    </row>
    <row r="619" ht="15.75" customHeight="1">
      <c r="B619" s="39"/>
    </row>
    <row r="620" ht="15.75" customHeight="1">
      <c r="B620" s="39"/>
    </row>
    <row r="621" ht="15.75" customHeight="1">
      <c r="B621" s="39"/>
    </row>
    <row r="622" ht="15.75" customHeight="1">
      <c r="B622" s="39"/>
    </row>
    <row r="623" ht="15.75" customHeight="1">
      <c r="B623" s="39"/>
    </row>
    <row r="624" ht="15.75" customHeight="1">
      <c r="B624" s="39"/>
    </row>
    <row r="625" ht="15.75" customHeight="1">
      <c r="B625" s="39"/>
    </row>
    <row r="626" ht="15.75" customHeight="1">
      <c r="B626" s="39"/>
    </row>
    <row r="627" ht="15.75" customHeight="1">
      <c r="B627" s="39"/>
    </row>
    <row r="628" ht="15.75" customHeight="1">
      <c r="B628" s="39"/>
    </row>
    <row r="629" ht="15.75" customHeight="1">
      <c r="B629" s="39"/>
    </row>
    <row r="630" ht="15.75" customHeight="1">
      <c r="B630" s="39"/>
    </row>
    <row r="631" ht="15.75" customHeight="1">
      <c r="B631" s="39"/>
    </row>
    <row r="632" ht="15.75" customHeight="1">
      <c r="B632" s="39"/>
    </row>
    <row r="633" ht="15.75" customHeight="1">
      <c r="B633" s="39"/>
    </row>
    <row r="634" ht="15.75" customHeight="1">
      <c r="B634" s="39"/>
    </row>
    <row r="635" ht="15.75" customHeight="1">
      <c r="B635" s="39"/>
    </row>
    <row r="636" ht="15.75" customHeight="1">
      <c r="B636" s="39"/>
    </row>
    <row r="637" ht="15.75" customHeight="1">
      <c r="B637" s="39"/>
    </row>
    <row r="638" ht="15.75" customHeight="1">
      <c r="B638" s="39"/>
    </row>
    <row r="639" ht="15.75" customHeight="1">
      <c r="B639" s="39"/>
    </row>
    <row r="640" ht="15.75" customHeight="1">
      <c r="B640" s="39"/>
    </row>
    <row r="641" ht="15.75" customHeight="1">
      <c r="B641" s="39"/>
    </row>
    <row r="642" ht="15.75" customHeight="1">
      <c r="B642" s="39"/>
    </row>
    <row r="643" ht="15.75" customHeight="1">
      <c r="B643" s="39"/>
    </row>
    <row r="644" ht="15.75" customHeight="1">
      <c r="B644" s="39"/>
    </row>
    <row r="645" ht="15.75" customHeight="1">
      <c r="B645" s="39"/>
    </row>
    <row r="646" ht="15.75" customHeight="1">
      <c r="B646" s="39"/>
    </row>
    <row r="647" ht="15.75" customHeight="1">
      <c r="B647" s="39"/>
    </row>
    <row r="648" ht="15.75" customHeight="1">
      <c r="B648" s="39"/>
    </row>
    <row r="649" ht="15.75" customHeight="1">
      <c r="B649" s="39"/>
    </row>
    <row r="650" ht="15.75" customHeight="1">
      <c r="B650" s="39"/>
    </row>
    <row r="651" ht="15.75" customHeight="1">
      <c r="B651" s="39"/>
    </row>
    <row r="652" ht="15.75" customHeight="1">
      <c r="B652" s="39"/>
    </row>
    <row r="653" ht="15.75" customHeight="1">
      <c r="B653" s="39"/>
    </row>
    <row r="654" ht="15.75" customHeight="1">
      <c r="B654" s="39"/>
    </row>
    <row r="655" ht="15.75" customHeight="1">
      <c r="B655" s="39"/>
    </row>
    <row r="656" ht="15.75" customHeight="1">
      <c r="B656" s="39"/>
    </row>
    <row r="657" ht="15.75" customHeight="1">
      <c r="B657" s="39"/>
    </row>
    <row r="658" ht="15.75" customHeight="1">
      <c r="B658" s="39"/>
    </row>
    <row r="659" ht="15.75" customHeight="1">
      <c r="B659" s="39"/>
    </row>
    <row r="660" ht="15.75" customHeight="1">
      <c r="B660" s="39"/>
    </row>
    <row r="661" ht="15.75" customHeight="1">
      <c r="B661" s="39"/>
    </row>
    <row r="662" ht="15.75" customHeight="1">
      <c r="B662" s="39"/>
    </row>
    <row r="663" ht="15.75" customHeight="1">
      <c r="B663" s="39"/>
    </row>
    <row r="664" ht="15.75" customHeight="1">
      <c r="B664" s="39"/>
    </row>
    <row r="665" ht="15.75" customHeight="1">
      <c r="B665" s="39"/>
    </row>
    <row r="666" ht="15.75" customHeight="1">
      <c r="B666" s="39"/>
    </row>
    <row r="667" ht="15.75" customHeight="1">
      <c r="B667" s="39"/>
    </row>
    <row r="668" ht="15.75" customHeight="1">
      <c r="B668" s="39"/>
    </row>
    <row r="669" ht="15.75" customHeight="1">
      <c r="B669" s="39"/>
    </row>
    <row r="670" ht="15.75" customHeight="1">
      <c r="B670" s="39"/>
    </row>
    <row r="671" ht="15.75" customHeight="1">
      <c r="B671" s="39"/>
    </row>
    <row r="672" ht="15.75" customHeight="1">
      <c r="B672" s="39"/>
    </row>
    <row r="673" ht="15.75" customHeight="1">
      <c r="B673" s="39"/>
    </row>
    <row r="674" ht="15.75" customHeight="1">
      <c r="B674" s="39"/>
    </row>
    <row r="675" ht="15.75" customHeight="1">
      <c r="B675" s="39"/>
    </row>
    <row r="676" ht="15.75" customHeight="1">
      <c r="B676" s="39"/>
    </row>
    <row r="677" ht="15.75" customHeight="1">
      <c r="B677" s="39"/>
    </row>
    <row r="678" ht="15.75" customHeight="1">
      <c r="B678" s="39"/>
    </row>
    <row r="679" ht="15.75" customHeight="1">
      <c r="B679" s="39"/>
    </row>
    <row r="680" ht="15.75" customHeight="1">
      <c r="B680" s="39"/>
    </row>
    <row r="681" ht="15.75" customHeight="1">
      <c r="B681" s="39"/>
    </row>
    <row r="682" ht="15.75" customHeight="1">
      <c r="B682" s="39"/>
    </row>
    <row r="683" ht="15.75" customHeight="1">
      <c r="B683" s="39"/>
    </row>
    <row r="684" ht="15.75" customHeight="1">
      <c r="B684" s="39"/>
    </row>
    <row r="685" ht="15.75" customHeight="1">
      <c r="B685" s="39"/>
    </row>
    <row r="686" ht="15.75" customHeight="1">
      <c r="B686" s="39"/>
    </row>
    <row r="687" ht="15.75" customHeight="1">
      <c r="B687" s="39"/>
    </row>
    <row r="688" ht="15.75" customHeight="1">
      <c r="B688" s="39"/>
    </row>
    <row r="689" ht="15.75" customHeight="1">
      <c r="B689" s="39"/>
    </row>
    <row r="690" ht="15.75" customHeight="1">
      <c r="B690" s="39"/>
    </row>
    <row r="691" ht="15.75" customHeight="1">
      <c r="B691" s="39"/>
    </row>
    <row r="692" ht="15.75" customHeight="1">
      <c r="B692" s="39"/>
    </row>
    <row r="693" ht="15.75" customHeight="1">
      <c r="B693" s="39"/>
    </row>
    <row r="694" ht="15.75" customHeight="1">
      <c r="B694" s="39"/>
    </row>
    <row r="695" ht="15.75" customHeight="1">
      <c r="B695" s="39"/>
    </row>
    <row r="696" ht="15.75" customHeight="1">
      <c r="B696" s="39"/>
    </row>
    <row r="697" ht="15.75" customHeight="1">
      <c r="B697" s="39"/>
    </row>
    <row r="698" ht="15.75" customHeight="1">
      <c r="B698" s="39"/>
    </row>
    <row r="699" ht="15.75" customHeight="1">
      <c r="B699" s="39"/>
    </row>
    <row r="700" ht="15.75" customHeight="1">
      <c r="B700" s="39"/>
    </row>
    <row r="701" ht="15.75" customHeight="1">
      <c r="B701" s="39"/>
    </row>
    <row r="702" ht="15.75" customHeight="1">
      <c r="B702" s="39"/>
    </row>
    <row r="703" ht="15.75" customHeight="1">
      <c r="B703" s="39"/>
    </row>
    <row r="704" ht="15.75" customHeight="1">
      <c r="B704" s="39"/>
    </row>
    <row r="705" ht="15.75" customHeight="1">
      <c r="B705" s="39"/>
    </row>
    <row r="706" ht="15.75" customHeight="1">
      <c r="B706" s="39"/>
    </row>
    <row r="707" ht="15.75" customHeight="1">
      <c r="B707" s="39"/>
    </row>
    <row r="708" ht="15.75" customHeight="1">
      <c r="B708" s="39"/>
    </row>
    <row r="709" ht="15.75" customHeight="1">
      <c r="B709" s="39"/>
    </row>
    <row r="710" ht="15.75" customHeight="1">
      <c r="B710" s="39"/>
    </row>
    <row r="711" ht="15.75" customHeight="1">
      <c r="B711" s="39"/>
    </row>
    <row r="712" ht="15.75" customHeight="1">
      <c r="B712" s="39"/>
    </row>
    <row r="713" ht="15.75" customHeight="1">
      <c r="B713" s="39"/>
    </row>
    <row r="714" ht="15.75" customHeight="1">
      <c r="B714" s="39"/>
    </row>
    <row r="715" ht="15.75" customHeight="1">
      <c r="B715" s="39"/>
    </row>
    <row r="716" ht="15.75" customHeight="1">
      <c r="B716" s="39"/>
    </row>
    <row r="717" ht="15.75" customHeight="1">
      <c r="B717" s="39"/>
    </row>
    <row r="718" ht="15.75" customHeight="1">
      <c r="B718" s="39"/>
    </row>
    <row r="719" ht="15.75" customHeight="1">
      <c r="B719" s="39"/>
    </row>
    <row r="720" ht="15.75" customHeight="1">
      <c r="B720" s="39"/>
    </row>
    <row r="721" ht="15.75" customHeight="1">
      <c r="B721" s="39"/>
    </row>
    <row r="722" ht="15.75" customHeight="1">
      <c r="B722" s="39"/>
    </row>
    <row r="723" ht="15.75" customHeight="1">
      <c r="B723" s="39"/>
    </row>
    <row r="724" ht="15.75" customHeight="1">
      <c r="B724" s="39"/>
    </row>
    <row r="725" ht="15.75" customHeight="1">
      <c r="B725" s="39"/>
    </row>
    <row r="726" ht="15.75" customHeight="1">
      <c r="B726" s="39"/>
    </row>
    <row r="727" ht="15.75" customHeight="1">
      <c r="B727" s="39"/>
    </row>
    <row r="728" ht="15.75" customHeight="1">
      <c r="B728" s="39"/>
    </row>
    <row r="729" ht="15.75" customHeight="1">
      <c r="B729" s="39"/>
    </row>
    <row r="730" ht="15.75" customHeight="1">
      <c r="B730" s="39"/>
    </row>
    <row r="731" ht="15.75" customHeight="1">
      <c r="B731" s="39"/>
    </row>
    <row r="732" ht="15.75" customHeight="1">
      <c r="B732" s="39"/>
    </row>
    <row r="733" ht="15.75" customHeight="1">
      <c r="B733" s="39"/>
    </row>
    <row r="734" ht="15.75" customHeight="1">
      <c r="B734" s="39"/>
    </row>
    <row r="735" ht="15.75" customHeight="1">
      <c r="B735" s="39"/>
    </row>
    <row r="736" ht="15.75" customHeight="1">
      <c r="B736" s="39"/>
    </row>
    <row r="737" ht="15.75" customHeight="1">
      <c r="B737" s="39"/>
    </row>
    <row r="738" ht="15.75" customHeight="1">
      <c r="B738" s="39"/>
    </row>
    <row r="739" ht="15.75" customHeight="1">
      <c r="B739" s="39"/>
    </row>
    <row r="740" ht="15.75" customHeight="1">
      <c r="B740" s="39"/>
    </row>
    <row r="741" ht="15.75" customHeight="1">
      <c r="B741" s="39"/>
    </row>
    <row r="742" ht="15.75" customHeight="1">
      <c r="B742" s="39"/>
    </row>
    <row r="743" ht="15.75" customHeight="1">
      <c r="B743" s="39"/>
    </row>
    <row r="744" ht="15.75" customHeight="1">
      <c r="B744" s="39"/>
    </row>
    <row r="745" ht="15.75" customHeight="1">
      <c r="B745" s="39"/>
    </row>
    <row r="746" ht="15.75" customHeight="1">
      <c r="B746" s="39"/>
    </row>
    <row r="747" ht="15.75" customHeight="1">
      <c r="B747" s="39"/>
    </row>
    <row r="748" ht="15.75" customHeight="1">
      <c r="B748" s="39"/>
    </row>
    <row r="749" ht="15.75" customHeight="1">
      <c r="B749" s="39"/>
    </row>
    <row r="750" ht="15.75" customHeight="1">
      <c r="B750" s="39"/>
    </row>
    <row r="751" ht="15.75" customHeight="1">
      <c r="B751" s="39"/>
    </row>
    <row r="752" ht="15.75" customHeight="1">
      <c r="B752" s="39"/>
    </row>
    <row r="753" ht="15.75" customHeight="1">
      <c r="B753" s="39"/>
    </row>
    <row r="754" ht="15.75" customHeight="1">
      <c r="B754" s="39"/>
    </row>
    <row r="755" ht="15.75" customHeight="1">
      <c r="B755" s="39"/>
    </row>
    <row r="756" ht="15.75" customHeight="1">
      <c r="B756" s="39"/>
    </row>
    <row r="757" ht="15.75" customHeight="1">
      <c r="B757" s="39"/>
    </row>
    <row r="758" ht="15.75" customHeight="1">
      <c r="B758" s="39"/>
    </row>
    <row r="759" ht="15.75" customHeight="1">
      <c r="B759" s="39"/>
    </row>
    <row r="760" ht="15.75" customHeight="1">
      <c r="B760" s="39"/>
    </row>
    <row r="761" ht="15.75" customHeight="1">
      <c r="B761" s="39"/>
    </row>
    <row r="762" ht="15.75" customHeight="1">
      <c r="B762" s="39"/>
    </row>
    <row r="763" ht="15.75" customHeight="1">
      <c r="B763" s="39"/>
    </row>
    <row r="764" ht="15.75" customHeight="1">
      <c r="B764" s="39"/>
    </row>
    <row r="765" ht="15.75" customHeight="1">
      <c r="B765" s="39"/>
    </row>
    <row r="766" ht="15.75" customHeight="1">
      <c r="B766" s="39"/>
    </row>
    <row r="767" ht="15.75" customHeight="1">
      <c r="B767" s="39"/>
    </row>
    <row r="768" ht="15.75" customHeight="1">
      <c r="B768" s="39"/>
    </row>
    <row r="769" ht="15.75" customHeight="1">
      <c r="B769" s="39"/>
    </row>
    <row r="770" ht="15.75" customHeight="1">
      <c r="B770" s="39"/>
    </row>
    <row r="771" ht="15.75" customHeight="1">
      <c r="B771" s="39"/>
    </row>
    <row r="772" ht="15.75" customHeight="1">
      <c r="B772" s="39"/>
    </row>
    <row r="773" ht="15.75" customHeight="1">
      <c r="B773" s="39"/>
    </row>
    <row r="774" ht="15.75" customHeight="1">
      <c r="B774" s="39"/>
    </row>
    <row r="775" ht="15.75" customHeight="1">
      <c r="B775" s="39"/>
    </row>
    <row r="776" ht="15.75" customHeight="1">
      <c r="B776" s="39"/>
    </row>
    <row r="777" ht="15.75" customHeight="1">
      <c r="B777" s="39"/>
    </row>
    <row r="778" ht="15.75" customHeight="1">
      <c r="B778" s="39"/>
    </row>
    <row r="779" ht="15.75" customHeight="1">
      <c r="B779" s="39"/>
    </row>
    <row r="780" ht="15.75" customHeight="1">
      <c r="B780" s="39"/>
    </row>
    <row r="781" ht="15.75" customHeight="1">
      <c r="B781" s="39"/>
    </row>
    <row r="782" ht="15.75" customHeight="1">
      <c r="B782" s="39"/>
    </row>
    <row r="783" ht="15.75" customHeight="1">
      <c r="B783" s="39"/>
    </row>
    <row r="784" ht="15.75" customHeight="1">
      <c r="B784" s="39"/>
    </row>
    <row r="785" ht="15.75" customHeight="1">
      <c r="B785" s="39"/>
    </row>
    <row r="786" ht="15.75" customHeight="1">
      <c r="B786" s="39"/>
    </row>
    <row r="787" ht="15.75" customHeight="1">
      <c r="B787" s="39"/>
    </row>
    <row r="788" ht="15.75" customHeight="1">
      <c r="B788" s="39"/>
    </row>
    <row r="789" ht="15.75" customHeight="1">
      <c r="B789" s="39"/>
    </row>
    <row r="790" ht="15.75" customHeight="1">
      <c r="B790" s="39"/>
    </row>
    <row r="791" ht="15.75" customHeight="1">
      <c r="B791" s="39"/>
    </row>
    <row r="792" ht="15.75" customHeight="1">
      <c r="B792" s="39"/>
    </row>
    <row r="793" ht="15.75" customHeight="1">
      <c r="B793" s="39"/>
    </row>
    <row r="794" ht="15.75" customHeight="1">
      <c r="B794" s="39"/>
    </row>
    <row r="795" ht="15.75" customHeight="1">
      <c r="B795" s="39"/>
    </row>
    <row r="796" ht="15.75" customHeight="1">
      <c r="B796" s="39"/>
    </row>
    <row r="797" ht="15.75" customHeight="1">
      <c r="B797" s="39"/>
    </row>
    <row r="798" ht="15.75" customHeight="1">
      <c r="B798" s="39"/>
    </row>
    <row r="799" ht="15.75" customHeight="1">
      <c r="B799" s="39"/>
    </row>
    <row r="800" ht="15.75" customHeight="1">
      <c r="B800" s="39"/>
    </row>
    <row r="801" ht="15.75" customHeight="1">
      <c r="B801" s="39"/>
    </row>
    <row r="802" ht="15.75" customHeight="1">
      <c r="B802" s="39"/>
    </row>
    <row r="803" ht="15.75" customHeight="1">
      <c r="B803" s="39"/>
    </row>
    <row r="804" ht="15.75" customHeight="1">
      <c r="B804" s="39"/>
    </row>
    <row r="805" ht="15.75" customHeight="1">
      <c r="B805" s="39"/>
    </row>
    <row r="806" ht="15.75" customHeight="1">
      <c r="B806" s="39"/>
    </row>
    <row r="807" ht="15.75" customHeight="1">
      <c r="B807" s="39"/>
    </row>
    <row r="808" ht="15.75" customHeight="1">
      <c r="B808" s="39"/>
    </row>
    <row r="809" ht="15.75" customHeight="1">
      <c r="B809" s="39"/>
    </row>
    <row r="810" ht="15.75" customHeight="1">
      <c r="B810" s="39"/>
    </row>
    <row r="811" ht="15.75" customHeight="1">
      <c r="B811" s="39"/>
    </row>
    <row r="812" ht="15.75" customHeight="1">
      <c r="B812" s="39"/>
    </row>
    <row r="813" ht="15.75" customHeight="1">
      <c r="B813" s="39"/>
    </row>
    <row r="814" ht="15.75" customHeight="1">
      <c r="B814" s="39"/>
    </row>
    <row r="815" ht="15.75" customHeight="1">
      <c r="B815" s="39"/>
    </row>
    <row r="816" ht="15.75" customHeight="1">
      <c r="B816" s="39"/>
    </row>
    <row r="817" ht="15.75" customHeight="1">
      <c r="B817" s="39"/>
    </row>
    <row r="818" ht="15.75" customHeight="1">
      <c r="B818" s="39"/>
    </row>
    <row r="819" ht="15.75" customHeight="1">
      <c r="B819" s="39"/>
    </row>
    <row r="820" ht="15.75" customHeight="1">
      <c r="B820" s="39"/>
    </row>
    <row r="821" ht="15.75" customHeight="1">
      <c r="B821" s="39"/>
    </row>
    <row r="822" ht="15.75" customHeight="1">
      <c r="B822" s="39"/>
    </row>
    <row r="823" ht="15.75" customHeight="1">
      <c r="B823" s="39"/>
    </row>
    <row r="824" ht="15.75" customHeight="1">
      <c r="B824" s="39"/>
    </row>
    <row r="825" ht="15.75" customHeight="1">
      <c r="B825" s="39"/>
    </row>
    <row r="826" ht="15.75" customHeight="1">
      <c r="B826" s="39"/>
    </row>
    <row r="827" ht="15.75" customHeight="1">
      <c r="B827" s="39"/>
    </row>
    <row r="828" ht="15.75" customHeight="1">
      <c r="B828" s="39"/>
    </row>
    <row r="829" ht="15.75" customHeight="1">
      <c r="B829" s="39"/>
    </row>
    <row r="830" ht="15.75" customHeight="1">
      <c r="B830" s="39"/>
    </row>
    <row r="831" ht="15.75" customHeight="1">
      <c r="B831" s="39"/>
    </row>
    <row r="832" ht="15.75" customHeight="1">
      <c r="B832" s="39"/>
    </row>
    <row r="833" ht="15.75" customHeight="1">
      <c r="B833" s="39"/>
    </row>
    <row r="834" ht="15.75" customHeight="1">
      <c r="B834" s="39"/>
    </row>
    <row r="835" ht="15.75" customHeight="1">
      <c r="B835" s="39"/>
    </row>
    <row r="836" ht="15.75" customHeight="1">
      <c r="B836" s="39"/>
    </row>
    <row r="837" ht="15.75" customHeight="1">
      <c r="B837" s="39"/>
    </row>
    <row r="838" ht="15.75" customHeight="1">
      <c r="B838" s="39"/>
    </row>
    <row r="839" ht="15.75" customHeight="1">
      <c r="B839" s="39"/>
    </row>
    <row r="840" ht="15.75" customHeight="1">
      <c r="B840" s="39"/>
    </row>
    <row r="841" ht="15.75" customHeight="1">
      <c r="B841" s="39"/>
    </row>
    <row r="842" ht="15.75" customHeight="1">
      <c r="B842" s="39"/>
    </row>
    <row r="843" ht="15.75" customHeight="1">
      <c r="B843" s="39"/>
    </row>
    <row r="844" ht="15.75" customHeight="1">
      <c r="B844" s="39"/>
    </row>
    <row r="845" ht="15.75" customHeight="1">
      <c r="B845" s="39"/>
    </row>
    <row r="846" ht="15.75" customHeight="1">
      <c r="B846" s="39"/>
    </row>
    <row r="847" ht="15.75" customHeight="1">
      <c r="B847" s="39"/>
    </row>
    <row r="848" ht="15.75" customHeight="1">
      <c r="B848" s="39"/>
    </row>
    <row r="849" ht="15.75" customHeight="1">
      <c r="B849" s="39"/>
    </row>
    <row r="850" ht="15.75" customHeight="1">
      <c r="B850" s="39"/>
    </row>
    <row r="851" ht="15.75" customHeight="1">
      <c r="B851" s="39"/>
    </row>
    <row r="852" ht="15.75" customHeight="1">
      <c r="B852" s="39"/>
    </row>
    <row r="853" ht="15.75" customHeight="1">
      <c r="B853" s="39"/>
    </row>
    <row r="854" ht="15.75" customHeight="1">
      <c r="B854" s="39"/>
    </row>
    <row r="855" ht="15.75" customHeight="1">
      <c r="B855" s="39"/>
    </row>
    <row r="856" ht="15.75" customHeight="1">
      <c r="B856" s="39"/>
    </row>
    <row r="857" ht="15.75" customHeight="1">
      <c r="B857" s="39"/>
    </row>
    <row r="858" ht="15.75" customHeight="1">
      <c r="B858" s="39"/>
    </row>
    <row r="859" ht="15.75" customHeight="1">
      <c r="B859" s="39"/>
    </row>
    <row r="860" ht="15.75" customHeight="1">
      <c r="B860" s="39"/>
    </row>
    <row r="861" ht="15.75" customHeight="1">
      <c r="B861" s="39"/>
    </row>
    <row r="862" ht="15.75" customHeight="1">
      <c r="B862" s="39"/>
    </row>
    <row r="863" ht="15.75" customHeight="1">
      <c r="B863" s="39"/>
    </row>
    <row r="864" ht="15.75" customHeight="1">
      <c r="B864" s="39"/>
    </row>
    <row r="865" ht="15.75" customHeight="1">
      <c r="B865" s="39"/>
    </row>
    <row r="866" ht="15.75" customHeight="1">
      <c r="B866" s="39"/>
    </row>
    <row r="867" ht="15.75" customHeight="1">
      <c r="B867" s="39"/>
    </row>
    <row r="868" ht="15.75" customHeight="1">
      <c r="B868" s="39"/>
    </row>
    <row r="869" ht="15.75" customHeight="1">
      <c r="B869" s="39"/>
    </row>
    <row r="870" ht="15.75" customHeight="1">
      <c r="B870" s="39"/>
    </row>
    <row r="871" ht="15.75" customHeight="1">
      <c r="B871" s="39"/>
    </row>
    <row r="872" ht="15.75" customHeight="1">
      <c r="B872" s="39"/>
    </row>
    <row r="873" ht="15.75" customHeight="1">
      <c r="B873" s="39"/>
    </row>
    <row r="874" ht="15.75" customHeight="1">
      <c r="B874" s="39"/>
    </row>
    <row r="875" ht="15.75" customHeight="1">
      <c r="B875" s="39"/>
    </row>
    <row r="876" ht="15.75" customHeight="1">
      <c r="B876" s="39"/>
    </row>
    <row r="877" ht="15.75" customHeight="1">
      <c r="B877" s="39"/>
    </row>
    <row r="878" ht="15.75" customHeight="1">
      <c r="B878" s="39"/>
    </row>
    <row r="879" ht="15.75" customHeight="1">
      <c r="B879" s="39"/>
    </row>
    <row r="880" ht="15.75" customHeight="1">
      <c r="B880" s="39"/>
    </row>
    <row r="881" ht="15.75" customHeight="1">
      <c r="B881" s="39"/>
    </row>
    <row r="882" ht="15.75" customHeight="1">
      <c r="B882" s="39"/>
    </row>
    <row r="883" ht="15.75" customHeight="1">
      <c r="B883" s="39"/>
    </row>
    <row r="884" ht="15.75" customHeight="1">
      <c r="B884" s="39"/>
    </row>
    <row r="885" ht="15.75" customHeight="1">
      <c r="B885" s="39"/>
    </row>
    <row r="886" ht="15.75" customHeight="1">
      <c r="B886" s="39"/>
    </row>
    <row r="887" ht="15.75" customHeight="1">
      <c r="B887" s="39"/>
    </row>
    <row r="888" ht="15.75" customHeight="1">
      <c r="B888" s="39"/>
    </row>
    <row r="889" ht="15.75" customHeight="1">
      <c r="B889" s="39"/>
    </row>
    <row r="890" ht="15.75" customHeight="1">
      <c r="B890" s="39"/>
    </row>
    <row r="891" ht="15.75" customHeight="1">
      <c r="B891" s="39"/>
    </row>
    <row r="892" ht="15.75" customHeight="1">
      <c r="B892" s="39"/>
    </row>
    <row r="893" ht="15.75" customHeight="1">
      <c r="B893" s="39"/>
    </row>
    <row r="894" ht="15.75" customHeight="1">
      <c r="B894" s="39"/>
    </row>
    <row r="895" ht="15.75" customHeight="1">
      <c r="B895" s="39"/>
    </row>
    <row r="896" ht="15.75" customHeight="1">
      <c r="B896" s="39"/>
    </row>
    <row r="897" ht="15.75" customHeight="1">
      <c r="B897" s="39"/>
    </row>
    <row r="898" ht="15.75" customHeight="1">
      <c r="B898" s="39"/>
    </row>
    <row r="899" ht="15.75" customHeight="1">
      <c r="B899" s="39"/>
    </row>
    <row r="900" ht="15.75" customHeight="1">
      <c r="B900" s="39"/>
    </row>
    <row r="901" ht="15.75" customHeight="1">
      <c r="B901" s="39"/>
    </row>
    <row r="902" ht="15.75" customHeight="1">
      <c r="B902" s="39"/>
    </row>
    <row r="903" ht="15.75" customHeight="1">
      <c r="B903" s="39"/>
    </row>
    <row r="904" ht="15.75" customHeight="1">
      <c r="B904" s="39"/>
    </row>
    <row r="905" ht="15.75" customHeight="1">
      <c r="B905" s="39"/>
    </row>
    <row r="906" ht="15.75" customHeight="1">
      <c r="B906" s="39"/>
    </row>
    <row r="907" ht="15.75" customHeight="1">
      <c r="B907" s="39"/>
    </row>
    <row r="908" ht="15.75" customHeight="1">
      <c r="B908" s="39"/>
    </row>
    <row r="909" ht="15.75" customHeight="1">
      <c r="B909" s="39"/>
    </row>
    <row r="910" ht="15.75" customHeight="1">
      <c r="B910" s="39"/>
    </row>
    <row r="911" ht="15.75" customHeight="1">
      <c r="B911" s="39"/>
    </row>
    <row r="912" ht="15.75" customHeight="1">
      <c r="B912" s="39"/>
    </row>
    <row r="913" ht="15.75" customHeight="1">
      <c r="B913" s="39"/>
    </row>
    <row r="914" ht="15.75" customHeight="1">
      <c r="B914" s="39"/>
    </row>
    <row r="915" ht="15.75" customHeight="1">
      <c r="B915" s="39"/>
    </row>
    <row r="916" ht="15.75" customHeight="1">
      <c r="B916" s="39"/>
    </row>
    <row r="917" ht="15.75" customHeight="1">
      <c r="B917" s="39"/>
    </row>
    <row r="918" ht="15.75" customHeight="1">
      <c r="B918" s="39"/>
    </row>
    <row r="919" ht="15.75" customHeight="1">
      <c r="B919" s="39"/>
    </row>
    <row r="920" ht="15.75" customHeight="1">
      <c r="B920" s="39"/>
    </row>
    <row r="921" ht="15.75" customHeight="1">
      <c r="B921" s="39"/>
    </row>
    <row r="922" ht="15.75" customHeight="1">
      <c r="B922" s="39"/>
    </row>
    <row r="923" ht="15.75" customHeight="1">
      <c r="B923" s="39"/>
    </row>
    <row r="924" ht="15.75" customHeight="1">
      <c r="B924" s="39"/>
    </row>
    <row r="925" ht="15.75" customHeight="1">
      <c r="B925" s="39"/>
    </row>
    <row r="926" ht="15.75" customHeight="1">
      <c r="B926" s="39"/>
    </row>
    <row r="927" ht="15.75" customHeight="1">
      <c r="B927" s="39"/>
    </row>
    <row r="928" ht="15.75" customHeight="1">
      <c r="B928" s="39"/>
    </row>
    <row r="929" ht="15.75" customHeight="1">
      <c r="B929" s="39"/>
    </row>
    <row r="930" ht="15.75" customHeight="1">
      <c r="B930" s="39"/>
    </row>
    <row r="931" ht="15.75" customHeight="1">
      <c r="B931" s="39"/>
    </row>
    <row r="932" ht="15.75" customHeight="1">
      <c r="B932" s="39"/>
    </row>
    <row r="933" ht="15.75" customHeight="1">
      <c r="B933" s="39"/>
    </row>
    <row r="934" ht="15.75" customHeight="1">
      <c r="B934" s="39"/>
    </row>
    <row r="935" ht="15.75" customHeight="1">
      <c r="B935" s="39"/>
    </row>
    <row r="936" ht="15.75" customHeight="1">
      <c r="B936" s="39"/>
    </row>
    <row r="937" ht="15.75" customHeight="1">
      <c r="B937" s="39"/>
    </row>
    <row r="938" ht="15.75" customHeight="1">
      <c r="B938" s="39"/>
    </row>
    <row r="939" ht="15.75" customHeight="1">
      <c r="B939" s="39"/>
    </row>
    <row r="940" ht="15.75" customHeight="1">
      <c r="B940" s="39"/>
    </row>
    <row r="941" ht="15.75" customHeight="1">
      <c r="B941" s="39"/>
    </row>
    <row r="942" ht="15.75" customHeight="1">
      <c r="B942" s="39"/>
    </row>
    <row r="943" ht="15.75" customHeight="1">
      <c r="B943" s="39"/>
    </row>
    <row r="944" ht="15.75" customHeight="1">
      <c r="B944" s="39"/>
    </row>
    <row r="945" ht="15.75" customHeight="1">
      <c r="B945" s="39"/>
    </row>
    <row r="946" ht="15.75" customHeight="1">
      <c r="B946" s="39"/>
    </row>
    <row r="947" ht="15.75" customHeight="1">
      <c r="B947" s="39"/>
    </row>
    <row r="948" ht="15.75" customHeight="1">
      <c r="B948" s="39"/>
    </row>
    <row r="949" ht="15.75" customHeight="1">
      <c r="B949" s="39"/>
    </row>
    <row r="950" ht="15.75" customHeight="1">
      <c r="B950" s="39"/>
    </row>
    <row r="951" ht="15.75" customHeight="1">
      <c r="B951" s="39"/>
    </row>
    <row r="952" ht="15.75" customHeight="1">
      <c r="B952" s="39"/>
    </row>
    <row r="953" ht="15.75" customHeight="1">
      <c r="B953" s="39"/>
    </row>
    <row r="954" ht="15.75" customHeight="1">
      <c r="B954" s="39"/>
    </row>
    <row r="955" ht="15.75" customHeight="1">
      <c r="B955" s="39"/>
    </row>
    <row r="956" ht="15.75" customHeight="1">
      <c r="B956" s="39"/>
    </row>
    <row r="957" ht="15.75" customHeight="1">
      <c r="B957" s="39"/>
    </row>
    <row r="958" ht="15.75" customHeight="1">
      <c r="B958" s="39"/>
    </row>
    <row r="959" ht="15.75" customHeight="1">
      <c r="B959" s="39"/>
    </row>
    <row r="960" ht="15.75" customHeight="1">
      <c r="B960" s="39"/>
    </row>
    <row r="961" ht="15.75" customHeight="1">
      <c r="B961" s="39"/>
    </row>
    <row r="962" ht="15.75" customHeight="1">
      <c r="B962" s="39"/>
    </row>
    <row r="963" ht="15.75" customHeight="1">
      <c r="B963" s="39"/>
    </row>
    <row r="964" ht="15.75" customHeight="1">
      <c r="B964" s="39"/>
    </row>
    <row r="965" ht="15.75" customHeight="1">
      <c r="B965" s="39"/>
    </row>
    <row r="966" ht="15.75" customHeight="1">
      <c r="B966" s="39"/>
    </row>
    <row r="967" ht="15.75" customHeight="1">
      <c r="B967" s="39"/>
    </row>
    <row r="968" ht="15.75" customHeight="1">
      <c r="B968" s="39"/>
    </row>
    <row r="969" ht="15.75" customHeight="1">
      <c r="B969" s="39"/>
    </row>
    <row r="970" ht="15.75" customHeight="1">
      <c r="B970" s="39"/>
    </row>
    <row r="971" ht="15.75" customHeight="1">
      <c r="B971" s="39"/>
    </row>
    <row r="972" ht="15.75" customHeight="1">
      <c r="B972" s="39"/>
    </row>
    <row r="973" ht="15.75" customHeight="1">
      <c r="B973" s="39"/>
    </row>
    <row r="974" ht="15.75" customHeight="1">
      <c r="B974" s="39"/>
    </row>
    <row r="975" ht="15.75" customHeight="1">
      <c r="B975" s="39"/>
    </row>
    <row r="976" ht="15.75" customHeight="1">
      <c r="B976" s="39"/>
    </row>
    <row r="977" ht="15.75" customHeight="1">
      <c r="B977" s="39"/>
    </row>
    <row r="978" ht="15.75" customHeight="1">
      <c r="B978" s="39"/>
    </row>
    <row r="979" ht="15.75" customHeight="1">
      <c r="B979" s="39"/>
    </row>
    <row r="980" ht="15.75" customHeight="1">
      <c r="B980" s="39"/>
    </row>
    <row r="981" ht="15.75" customHeight="1">
      <c r="B981" s="39"/>
    </row>
    <row r="982" ht="15.75" customHeight="1">
      <c r="B982" s="39"/>
    </row>
    <row r="983" ht="15.75" customHeight="1">
      <c r="B983" s="39"/>
    </row>
    <row r="984" ht="15.75" customHeight="1">
      <c r="B984" s="39"/>
    </row>
    <row r="985" ht="15.75" customHeight="1">
      <c r="B985" s="39"/>
    </row>
    <row r="986" ht="15.75" customHeight="1">
      <c r="B986" s="39"/>
    </row>
    <row r="987" ht="15.75" customHeight="1">
      <c r="B987" s="39"/>
    </row>
    <row r="988" ht="15.75" customHeight="1">
      <c r="B988" s="39"/>
    </row>
    <row r="989" ht="15.75" customHeight="1">
      <c r="B989" s="39"/>
    </row>
    <row r="990" ht="15.75" customHeight="1">
      <c r="B990" s="39"/>
    </row>
    <row r="991" ht="15.75" customHeight="1">
      <c r="B991" s="39"/>
    </row>
    <row r="992" ht="15.75" customHeight="1">
      <c r="B992" s="39"/>
    </row>
    <row r="993" ht="15.75" customHeight="1">
      <c r="B993" s="39"/>
    </row>
    <row r="994" ht="15.75" customHeight="1">
      <c r="B994" s="39"/>
    </row>
    <row r="995" ht="15.75" customHeight="1">
      <c r="B995" s="39"/>
    </row>
    <row r="996" ht="15.75" customHeight="1">
      <c r="B996" s="39"/>
    </row>
    <row r="997" ht="15.75" customHeight="1">
      <c r="B997" s="39"/>
    </row>
    <row r="998" ht="15.75" customHeight="1">
      <c r="B998" s="39"/>
    </row>
    <row r="999" ht="15.75" customHeight="1">
      <c r="B999" s="39"/>
    </row>
    <row r="1000" ht="15.75" customHeight="1">
      <c r="B1000" s="39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7" width="10.78"/>
    <col customWidth="1" min="8" max="9" width="10.56"/>
    <col customWidth="1" min="10" max="10" width="10.78"/>
    <col customWidth="1" min="11" max="11" width="13.78"/>
    <col customWidth="1" min="12" max="14" width="10.56"/>
    <col customWidth="1" min="15" max="15" width="16.78"/>
    <col customWidth="1" min="16" max="17" width="20.33"/>
    <col customWidth="1" min="18" max="18" width="17.33"/>
    <col customWidth="1" min="19" max="19" width="10.56"/>
    <col customWidth="1" min="20" max="20" width="15.67"/>
    <col customWidth="1" min="21" max="21" width="10.56"/>
    <col customWidth="1" min="22" max="22" width="16.44"/>
    <col customWidth="1" min="23" max="23" width="19.44"/>
    <col customWidth="1" min="24" max="26" width="10.56"/>
    <col customWidth="1" min="27" max="27" width="12.67"/>
    <col customWidth="1" min="28" max="29" width="10.56"/>
    <col customWidth="1" min="30" max="30" width="15.33"/>
    <col customWidth="1" min="31" max="31" width="20.78"/>
    <col customWidth="1" min="32" max="36" width="10.56"/>
  </cols>
  <sheetData>
    <row r="1" ht="15.75" customHeight="1">
      <c r="F1" s="11"/>
      <c r="G1" s="20"/>
      <c r="J1" s="11"/>
    </row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47" t="s">
        <v>5</v>
      </c>
      <c r="H2" s="1" t="s">
        <v>6</v>
      </c>
      <c r="I2" s="1" t="s">
        <v>7</v>
      </c>
      <c r="J2" s="1" t="s">
        <v>8</v>
      </c>
      <c r="K2" s="1" t="s">
        <v>85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T2" s="1" t="s">
        <v>17</v>
      </c>
      <c r="V2" s="1" t="s">
        <v>7</v>
      </c>
      <c r="W2" s="1" t="s">
        <v>6</v>
      </c>
      <c r="X2" s="1" t="s">
        <v>18</v>
      </c>
      <c r="Y2" s="2" t="s">
        <v>19</v>
      </c>
      <c r="Z2" s="3" t="s">
        <v>20</v>
      </c>
      <c r="AA2" s="1" t="s">
        <v>0</v>
      </c>
      <c r="AB2" s="1" t="s">
        <v>21</v>
      </c>
      <c r="AC2" s="1" t="s">
        <v>86</v>
      </c>
      <c r="AD2" s="1" t="s">
        <v>87</v>
      </c>
      <c r="AE2" s="1" t="s">
        <v>24</v>
      </c>
    </row>
    <row r="3" ht="15.75" customHeight="1">
      <c r="B3" s="5" t="s">
        <v>48</v>
      </c>
      <c r="C3" s="5">
        <v>1.0</v>
      </c>
      <c r="D3" s="5">
        <v>7.0</v>
      </c>
      <c r="E3" s="5">
        <v>1.0</v>
      </c>
      <c r="F3" s="11">
        <v>265.0</v>
      </c>
      <c r="G3" s="20">
        <v>140.0</v>
      </c>
      <c r="H3" s="5">
        <v>2.0</v>
      </c>
      <c r="I3" s="5">
        <v>1.0</v>
      </c>
      <c r="J3" s="11">
        <f t="shared" ref="J3:J343" si="1">F3/100</f>
        <v>2.65</v>
      </c>
      <c r="K3" s="6"/>
      <c r="L3" s="41">
        <v>42963.0</v>
      </c>
      <c r="M3" s="9">
        <v>0.44027777777777777</v>
      </c>
      <c r="N3" s="9">
        <v>0.4527777777777778</v>
      </c>
      <c r="O3" s="5" t="s">
        <v>25</v>
      </c>
      <c r="P3" s="5" t="s">
        <v>26</v>
      </c>
      <c r="Q3" s="5" t="s">
        <v>88</v>
      </c>
      <c r="R3" s="9">
        <f t="shared" ref="R3:R117" si="2">N3-M3</f>
        <v>0.0125</v>
      </c>
      <c r="S3" s="1"/>
      <c r="T3" s="10">
        <f>SUM(C3:C345)</f>
        <v>215</v>
      </c>
      <c r="U3" s="1"/>
      <c r="V3" s="11" t="s">
        <v>28</v>
      </c>
      <c r="W3" s="5" t="s">
        <v>29</v>
      </c>
      <c r="X3" s="5" t="s">
        <v>30</v>
      </c>
      <c r="Y3" s="12">
        <v>7.0</v>
      </c>
      <c r="Z3" s="13">
        <v>1.0</v>
      </c>
      <c r="AA3" s="15" t="s">
        <v>31</v>
      </c>
      <c r="AB3" s="15">
        <f>SUM(C3:C132)</f>
        <v>67</v>
      </c>
      <c r="AC3" s="16">
        <f t="array" ref="AC3">_xlfn.MODE.MULT(E3:E132)</f>
        <v>1</v>
      </c>
      <c r="AD3" s="16">
        <f t="array" ref="AD3">_xlfn.MODE.MULT(I3:I132)</f>
        <v>1</v>
      </c>
      <c r="AE3" s="16">
        <f t="array" ref="AE3">_xlfn.MODE.MULT(H3:H132)</f>
        <v>1</v>
      </c>
    </row>
    <row r="4" ht="15.75" customHeight="1">
      <c r="D4" s="13">
        <v>3.0</v>
      </c>
      <c r="F4" s="11"/>
      <c r="G4" s="20"/>
      <c r="J4" s="11">
        <f t="shared" si="1"/>
        <v>0</v>
      </c>
      <c r="L4" s="41">
        <v>42963.0</v>
      </c>
      <c r="M4" s="9">
        <v>0.46597222222222223</v>
      </c>
      <c r="N4" s="9">
        <v>0.47291666666666665</v>
      </c>
      <c r="O4" s="5" t="s">
        <v>25</v>
      </c>
      <c r="Q4" s="5" t="s">
        <v>40</v>
      </c>
      <c r="R4" s="9">
        <f t="shared" si="2"/>
        <v>0.006944444444</v>
      </c>
      <c r="V4" s="5" t="s">
        <v>32</v>
      </c>
      <c r="W4" s="5" t="s">
        <v>33</v>
      </c>
      <c r="X4" s="5" t="s">
        <v>34</v>
      </c>
      <c r="Y4" s="12">
        <v>8.0</v>
      </c>
      <c r="Z4" s="13">
        <v>2.0</v>
      </c>
      <c r="AA4" s="18" t="s">
        <v>35</v>
      </c>
      <c r="AB4" s="17">
        <f>SUM(C133:C345)</f>
        <v>148</v>
      </c>
      <c r="AC4" s="17">
        <f t="array" ref="AC4">_xlfn.MODE.MULT(E133:E345)</f>
        <v>1</v>
      </c>
      <c r="AD4" s="17">
        <f t="array" ref="AD4">_xlfn.MODE.MULT(I133:I345)</f>
        <v>1</v>
      </c>
      <c r="AE4" s="17">
        <f t="array" ref="AE4">_xlfn.MODE.MULT(H133:H345)</f>
        <v>2</v>
      </c>
    </row>
    <row r="5" ht="15.75" customHeight="1">
      <c r="D5" s="5">
        <v>9.0</v>
      </c>
      <c r="F5" s="11"/>
      <c r="G5" s="20"/>
      <c r="J5" s="11">
        <f t="shared" si="1"/>
        <v>0</v>
      </c>
      <c r="L5" s="41">
        <v>42963.0</v>
      </c>
      <c r="M5" s="9">
        <v>0.4791666666666667</v>
      </c>
      <c r="N5" s="9">
        <v>0.5</v>
      </c>
      <c r="O5" s="5" t="s">
        <v>25</v>
      </c>
      <c r="Q5" s="5" t="s">
        <v>88</v>
      </c>
      <c r="R5" s="9">
        <f t="shared" si="2"/>
        <v>0.02083333333</v>
      </c>
      <c r="T5" s="1" t="s">
        <v>89</v>
      </c>
      <c r="V5" s="5" t="s">
        <v>37</v>
      </c>
      <c r="W5" s="5" t="s">
        <v>38</v>
      </c>
      <c r="X5" s="5" t="s">
        <v>39</v>
      </c>
      <c r="Y5" s="12">
        <v>9.0</v>
      </c>
      <c r="Z5" s="13">
        <v>3.0</v>
      </c>
      <c r="AA5" s="41"/>
      <c r="AB5" s="7"/>
      <c r="AC5" s="7" t="s">
        <v>90</v>
      </c>
      <c r="AD5" s="8"/>
      <c r="AE5" s="8"/>
    </row>
    <row r="6" ht="15.75" customHeight="1">
      <c r="B6" s="5" t="s">
        <v>48</v>
      </c>
      <c r="C6" s="5">
        <v>1.0</v>
      </c>
      <c r="D6" s="5">
        <v>10.0</v>
      </c>
      <c r="E6" s="5">
        <v>1.0</v>
      </c>
      <c r="F6" s="11">
        <v>588.0</v>
      </c>
      <c r="G6" s="20">
        <v>90.0</v>
      </c>
      <c r="H6" s="5">
        <v>2.0</v>
      </c>
      <c r="I6" s="5">
        <v>1.0</v>
      </c>
      <c r="J6" s="11">
        <f t="shared" si="1"/>
        <v>5.88</v>
      </c>
      <c r="L6" s="41">
        <v>42963.0</v>
      </c>
      <c r="M6" s="9">
        <v>0.5055555555555555</v>
      </c>
      <c r="N6" s="9">
        <v>0.5131944444444444</v>
      </c>
      <c r="O6" s="5" t="s">
        <v>25</v>
      </c>
      <c r="Q6" s="5" t="s">
        <v>88</v>
      </c>
      <c r="R6" s="9">
        <f t="shared" si="2"/>
        <v>0.007638888889</v>
      </c>
      <c r="T6" s="5">
        <f t="array" ref="T6">_xlfn.MODE.MULT(E3:E345)</f>
        <v>1</v>
      </c>
      <c r="V6" s="5" t="s">
        <v>41</v>
      </c>
      <c r="W6" s="5" t="s">
        <v>42</v>
      </c>
      <c r="Y6" s="12">
        <v>10.0</v>
      </c>
      <c r="Z6" s="13">
        <v>4.0</v>
      </c>
      <c r="AA6" s="41"/>
      <c r="AB6" s="7"/>
      <c r="AC6" s="7"/>
      <c r="AD6" s="8"/>
      <c r="AE6" s="8"/>
    </row>
    <row r="7" ht="15.75" customHeight="1">
      <c r="D7" s="13">
        <v>4.0</v>
      </c>
      <c r="F7" s="11"/>
      <c r="G7" s="20"/>
      <c r="J7" s="11">
        <f t="shared" si="1"/>
        <v>0</v>
      </c>
      <c r="L7" s="41">
        <v>42963.0</v>
      </c>
      <c r="M7" s="9">
        <v>0.5208333333333334</v>
      </c>
      <c r="N7" s="9">
        <v>0.5298611111111111</v>
      </c>
      <c r="O7" s="5" t="s">
        <v>25</v>
      </c>
      <c r="Q7" s="5" t="s">
        <v>40</v>
      </c>
      <c r="R7" s="9">
        <f t="shared" si="2"/>
        <v>0.009027777778</v>
      </c>
      <c r="V7" s="5" t="s">
        <v>44</v>
      </c>
      <c r="W7" s="5" t="s">
        <v>45</v>
      </c>
      <c r="Y7" s="12">
        <v>11.0</v>
      </c>
      <c r="Z7" s="13">
        <v>5.0</v>
      </c>
      <c r="AA7" s="41"/>
      <c r="AB7" s="7"/>
      <c r="AC7" s="7"/>
      <c r="AD7" s="8"/>
    </row>
    <row r="8" ht="15.75" customHeight="1">
      <c r="D8" s="13">
        <v>2.0</v>
      </c>
      <c r="F8" s="11"/>
      <c r="G8" s="20"/>
      <c r="J8" s="11">
        <f t="shared" si="1"/>
        <v>0</v>
      </c>
      <c r="L8" s="41">
        <v>42963.0</v>
      </c>
      <c r="M8" s="7">
        <v>0.5409722222222222</v>
      </c>
      <c r="N8" s="7">
        <v>0.5534722222222223</v>
      </c>
      <c r="O8" s="8" t="s">
        <v>25</v>
      </c>
      <c r="P8" s="8" t="s">
        <v>79</v>
      </c>
      <c r="Q8" s="8" t="s">
        <v>40</v>
      </c>
      <c r="R8" s="9">
        <f t="shared" si="2"/>
        <v>0.0125</v>
      </c>
      <c r="T8" s="1" t="s">
        <v>91</v>
      </c>
      <c r="W8" s="5" t="s">
        <v>47</v>
      </c>
      <c r="Y8" s="12">
        <v>12.0</v>
      </c>
      <c r="Z8" s="13">
        <v>6.0</v>
      </c>
      <c r="AA8" s="41"/>
      <c r="AB8" s="7"/>
      <c r="AC8" s="7"/>
      <c r="AD8" s="8"/>
    </row>
    <row r="9" ht="15.75" customHeight="1">
      <c r="D9" s="13">
        <v>5.0</v>
      </c>
      <c r="F9" s="11"/>
      <c r="G9" s="20"/>
      <c r="J9" s="11">
        <f t="shared" si="1"/>
        <v>0</v>
      </c>
      <c r="L9" s="41">
        <v>42963.0</v>
      </c>
      <c r="M9" s="9">
        <v>0.5590277777777778</v>
      </c>
      <c r="N9" s="9">
        <v>0.5673611111111111</v>
      </c>
      <c r="O9" s="5" t="s">
        <v>25</v>
      </c>
      <c r="Q9" s="5" t="s">
        <v>40</v>
      </c>
      <c r="R9" s="9">
        <f t="shared" si="2"/>
        <v>0.008333333333</v>
      </c>
      <c r="T9" s="5">
        <f t="array" ref="T9">_xlfn.MODE.MULT(I3:I345)</f>
        <v>1</v>
      </c>
      <c r="W9" s="5" t="s">
        <v>49</v>
      </c>
      <c r="AA9" s="41"/>
      <c r="AB9" s="7"/>
      <c r="AC9" s="7"/>
      <c r="AD9" s="8"/>
    </row>
    <row r="10" ht="15.75" customHeight="1">
      <c r="D10" s="5">
        <v>8.0</v>
      </c>
      <c r="F10" s="11"/>
      <c r="G10" s="20"/>
      <c r="J10" s="11">
        <f t="shared" si="1"/>
        <v>0</v>
      </c>
      <c r="L10" s="41">
        <v>42963.0</v>
      </c>
      <c r="M10" s="9">
        <v>0.5736111111111112</v>
      </c>
      <c r="N10" s="9">
        <v>0.5805555555555556</v>
      </c>
      <c r="O10" s="5" t="s">
        <v>25</v>
      </c>
      <c r="P10" s="5" t="s">
        <v>79</v>
      </c>
      <c r="Q10" s="5" t="s">
        <v>40</v>
      </c>
      <c r="R10" s="9">
        <f t="shared" si="2"/>
        <v>0.006944444444</v>
      </c>
      <c r="AA10" s="41"/>
      <c r="AB10" s="7"/>
      <c r="AC10" s="7"/>
      <c r="AD10" s="8"/>
    </row>
    <row r="11" ht="15.75" customHeight="1">
      <c r="D11" s="5">
        <v>12.0</v>
      </c>
      <c r="F11" s="11"/>
      <c r="G11" s="20"/>
      <c r="J11" s="11">
        <f t="shared" si="1"/>
        <v>0</v>
      </c>
      <c r="L11" s="41">
        <v>42963.0</v>
      </c>
      <c r="M11" s="9">
        <v>0.6152777777777778</v>
      </c>
      <c r="N11" s="9">
        <v>0.625</v>
      </c>
      <c r="O11" s="5" t="s">
        <v>25</v>
      </c>
      <c r="P11" s="5" t="s">
        <v>26</v>
      </c>
      <c r="Q11" s="5" t="s">
        <v>88</v>
      </c>
      <c r="R11" s="9">
        <f t="shared" si="2"/>
        <v>0.009722222222</v>
      </c>
      <c r="T11" s="1" t="s">
        <v>92</v>
      </c>
      <c r="AA11" s="41"/>
      <c r="AB11" s="9"/>
      <c r="AC11" s="9"/>
      <c r="AD11" s="8"/>
      <c r="AE11" s="8"/>
    </row>
    <row r="12" ht="15.75" customHeight="1">
      <c r="D12" s="13">
        <v>1.0</v>
      </c>
      <c r="F12" s="11"/>
      <c r="G12" s="20"/>
      <c r="J12" s="11">
        <f t="shared" si="1"/>
        <v>0</v>
      </c>
      <c r="L12" s="41">
        <v>42963.0</v>
      </c>
      <c r="M12" s="9">
        <v>0.55625</v>
      </c>
      <c r="N12" s="9">
        <v>0.5597222222222222</v>
      </c>
      <c r="O12" s="5" t="s">
        <v>25</v>
      </c>
      <c r="P12" s="5" t="s">
        <v>26</v>
      </c>
      <c r="Q12" s="5" t="s">
        <v>88</v>
      </c>
      <c r="R12" s="9">
        <f t="shared" si="2"/>
        <v>0.003472222222</v>
      </c>
      <c r="T12" s="5">
        <f t="array" ref="T12">_xlfn.MODE.MULT(H3:H345)</f>
        <v>2</v>
      </c>
      <c r="V12" s="1"/>
      <c r="W12" s="1"/>
      <c r="AA12" s="41"/>
      <c r="AB12" s="7"/>
      <c r="AC12" s="7"/>
      <c r="AD12" s="8"/>
      <c r="AI12" s="1"/>
      <c r="AJ12" s="1"/>
    </row>
    <row r="13" ht="15.75" customHeight="1">
      <c r="D13" s="13">
        <v>6.0</v>
      </c>
      <c r="F13" s="11"/>
      <c r="G13" s="20"/>
      <c r="J13" s="11">
        <f t="shared" si="1"/>
        <v>0</v>
      </c>
      <c r="L13" s="41">
        <v>42963.0</v>
      </c>
      <c r="M13" s="9">
        <v>0.6625</v>
      </c>
      <c r="N13" s="9">
        <v>0.6736111111111112</v>
      </c>
      <c r="O13" s="5" t="s">
        <v>25</v>
      </c>
      <c r="Q13" s="5" t="s">
        <v>40</v>
      </c>
      <c r="R13" s="9">
        <f t="shared" si="2"/>
        <v>0.01111111111</v>
      </c>
      <c r="AA13" s="41"/>
      <c r="AB13" s="9"/>
      <c r="AC13" s="9"/>
    </row>
    <row r="14" ht="15.75" customHeight="1">
      <c r="B14" s="22"/>
      <c r="C14" s="22"/>
      <c r="D14" s="22">
        <v>11.0</v>
      </c>
      <c r="E14" s="22"/>
      <c r="F14" s="22"/>
      <c r="G14" s="48"/>
      <c r="H14" s="22"/>
      <c r="I14" s="22"/>
      <c r="J14" s="11">
        <f t="shared" si="1"/>
        <v>0</v>
      </c>
      <c r="K14" s="22"/>
      <c r="L14" s="23">
        <v>42963.0</v>
      </c>
      <c r="M14" s="33">
        <v>0.6847222222222222</v>
      </c>
      <c r="N14" s="33">
        <v>0.688888888888889</v>
      </c>
      <c r="O14" s="22" t="s">
        <v>65</v>
      </c>
      <c r="P14" s="22" t="s">
        <v>79</v>
      </c>
      <c r="Q14" s="22" t="s">
        <v>40</v>
      </c>
      <c r="R14" s="9">
        <f t="shared" si="2"/>
        <v>0.004166666667</v>
      </c>
      <c r="T14" s="1" t="s">
        <v>53</v>
      </c>
      <c r="AA14" s="41"/>
      <c r="AB14" s="9"/>
      <c r="AC14" s="9"/>
    </row>
    <row r="15" ht="15.75" customHeight="1">
      <c r="B15" s="5" t="s">
        <v>48</v>
      </c>
      <c r="C15" s="5">
        <v>1.0</v>
      </c>
      <c r="D15" s="5">
        <v>7.0</v>
      </c>
      <c r="E15" s="5">
        <v>2.0</v>
      </c>
      <c r="F15" s="11">
        <v>447.0</v>
      </c>
      <c r="G15" s="20">
        <v>120.0</v>
      </c>
      <c r="H15" s="5">
        <v>2.0</v>
      </c>
      <c r="I15" s="5">
        <v>1.0</v>
      </c>
      <c r="J15" s="11">
        <f t="shared" si="1"/>
        <v>4.47</v>
      </c>
      <c r="L15" s="41">
        <v>43022.0</v>
      </c>
      <c r="M15" s="9">
        <v>0.4486111111111111</v>
      </c>
      <c r="N15" s="9">
        <v>0.4604166666666667</v>
      </c>
      <c r="O15" s="5" t="s">
        <v>25</v>
      </c>
      <c r="R15" s="9">
        <f t="shared" si="2"/>
        <v>0.01180555556</v>
      </c>
      <c r="T15" s="19">
        <f>SUM(R3:R345)</f>
        <v>24.76152778</v>
      </c>
      <c r="AA15" s="41"/>
      <c r="AB15" s="9"/>
      <c r="AC15" s="9"/>
    </row>
    <row r="16" ht="15.75" customHeight="1">
      <c r="B16" s="5" t="s">
        <v>48</v>
      </c>
      <c r="C16" s="5">
        <v>1.0</v>
      </c>
      <c r="D16" s="13">
        <v>4.0</v>
      </c>
      <c r="E16" s="5">
        <v>1.0</v>
      </c>
      <c r="F16" s="11">
        <v>469.0</v>
      </c>
      <c r="G16" s="20">
        <v>231.0</v>
      </c>
      <c r="H16" s="5">
        <v>1.0</v>
      </c>
      <c r="I16" s="5">
        <v>1.0</v>
      </c>
      <c r="J16" s="11">
        <f t="shared" si="1"/>
        <v>4.69</v>
      </c>
      <c r="K16" s="5" t="s">
        <v>55</v>
      </c>
      <c r="L16" s="41">
        <v>43022.0</v>
      </c>
      <c r="M16" s="9">
        <v>0.4708333333333334</v>
      </c>
      <c r="N16" s="9">
        <v>0.4791666666666667</v>
      </c>
      <c r="O16" s="5" t="s">
        <v>25</v>
      </c>
      <c r="R16" s="9">
        <f t="shared" si="2"/>
        <v>0.008333333333</v>
      </c>
      <c r="AA16" s="41"/>
      <c r="AB16" s="9"/>
      <c r="AC16" s="9"/>
    </row>
    <row r="17" ht="15.75" customHeight="1">
      <c r="B17" s="5" t="s">
        <v>48</v>
      </c>
      <c r="C17" s="5">
        <v>1.0</v>
      </c>
      <c r="D17" s="13">
        <v>3.0</v>
      </c>
      <c r="E17" s="5">
        <v>1.0</v>
      </c>
      <c r="F17" s="11">
        <v>458.0</v>
      </c>
      <c r="G17" s="20">
        <v>300.0</v>
      </c>
      <c r="H17" s="5">
        <v>1.0</v>
      </c>
      <c r="I17" s="5">
        <v>1.0</v>
      </c>
      <c r="J17" s="11">
        <f t="shared" si="1"/>
        <v>4.58</v>
      </c>
      <c r="K17" s="5" t="s">
        <v>57</v>
      </c>
      <c r="L17" s="41">
        <v>43022.0</v>
      </c>
      <c r="M17" s="7">
        <v>0.4861111111111111</v>
      </c>
      <c r="N17" s="7">
        <v>0.4930555555555556</v>
      </c>
      <c r="O17" s="8" t="s">
        <v>25</v>
      </c>
      <c r="R17" s="9">
        <f t="shared" si="2"/>
        <v>0.006944444444</v>
      </c>
      <c r="T17" s="1" t="s">
        <v>58</v>
      </c>
      <c r="AA17" s="41"/>
      <c r="AB17" s="7"/>
      <c r="AC17" s="7"/>
      <c r="AD17" s="8"/>
      <c r="AE17" s="8"/>
    </row>
    <row r="18" ht="15.75" customHeight="1">
      <c r="B18" s="5" t="s">
        <v>48</v>
      </c>
      <c r="C18" s="5">
        <v>1.0</v>
      </c>
      <c r="D18" s="13">
        <v>3.0</v>
      </c>
      <c r="E18" s="5">
        <v>1.0</v>
      </c>
      <c r="F18" s="11">
        <v>400.0</v>
      </c>
      <c r="G18" s="20">
        <v>238.0</v>
      </c>
      <c r="H18" s="5">
        <v>1.0</v>
      </c>
      <c r="I18" s="5">
        <v>3.0</v>
      </c>
      <c r="J18" s="11">
        <f t="shared" si="1"/>
        <v>4</v>
      </c>
      <c r="K18" s="5" t="s">
        <v>57</v>
      </c>
      <c r="L18" s="41">
        <v>43022.0</v>
      </c>
      <c r="M18" s="7"/>
      <c r="N18" s="7"/>
      <c r="O18" s="8" t="s">
        <v>25</v>
      </c>
      <c r="R18" s="9">
        <f t="shared" si="2"/>
        <v>0</v>
      </c>
      <c r="T18" s="5" t="s">
        <v>60</v>
      </c>
      <c r="AA18" s="41"/>
      <c r="AB18" s="7"/>
      <c r="AC18" s="7"/>
      <c r="AD18" s="8"/>
      <c r="AE18" s="8"/>
    </row>
    <row r="19" ht="15.75" customHeight="1">
      <c r="B19" s="5" t="s">
        <v>48</v>
      </c>
      <c r="C19" s="5">
        <v>1.0</v>
      </c>
      <c r="D19" s="13">
        <v>3.0</v>
      </c>
      <c r="E19" s="5">
        <v>1.0</v>
      </c>
      <c r="F19" s="11">
        <v>400.0</v>
      </c>
      <c r="G19" s="20">
        <v>238.0</v>
      </c>
      <c r="H19" s="5">
        <v>1.0</v>
      </c>
      <c r="I19" s="5">
        <v>3.0</v>
      </c>
      <c r="J19" s="11">
        <f t="shared" si="1"/>
        <v>4</v>
      </c>
      <c r="K19" s="5" t="s">
        <v>55</v>
      </c>
      <c r="L19" s="41">
        <v>43022.0</v>
      </c>
      <c r="M19" s="7"/>
      <c r="N19" s="7"/>
      <c r="O19" s="8" t="s">
        <v>25</v>
      </c>
      <c r="R19" s="9">
        <f t="shared" si="2"/>
        <v>0</v>
      </c>
      <c r="AA19" s="41"/>
      <c r="AB19" s="7"/>
      <c r="AC19" s="7"/>
      <c r="AD19" s="8"/>
    </row>
    <row r="20" ht="15.75" customHeight="1">
      <c r="D20" s="5">
        <v>9.0</v>
      </c>
      <c r="F20" s="11"/>
      <c r="G20" s="20"/>
      <c r="J20" s="11">
        <f t="shared" si="1"/>
        <v>0</v>
      </c>
      <c r="L20" s="41">
        <v>43022.0</v>
      </c>
      <c r="M20" s="9">
        <v>0.5</v>
      </c>
      <c r="N20" s="9">
        <v>0.513888888888889</v>
      </c>
      <c r="O20" s="8" t="s">
        <v>25</v>
      </c>
      <c r="R20" s="9">
        <f t="shared" si="2"/>
        <v>0.01388888889</v>
      </c>
      <c r="AA20" s="41"/>
      <c r="AB20" s="9"/>
      <c r="AC20" s="9"/>
    </row>
    <row r="21" ht="15.75" customHeight="1">
      <c r="B21" s="5" t="s">
        <v>48</v>
      </c>
      <c r="C21" s="5">
        <v>1.0</v>
      </c>
      <c r="D21" s="5">
        <v>10.0</v>
      </c>
      <c r="E21" s="5">
        <v>2.0</v>
      </c>
      <c r="F21" s="11">
        <v>158.0</v>
      </c>
      <c r="G21" s="20">
        <v>113.0</v>
      </c>
      <c r="H21" s="5">
        <v>2.0</v>
      </c>
      <c r="I21" s="5">
        <v>5.0</v>
      </c>
      <c r="J21" s="11">
        <f t="shared" si="1"/>
        <v>1.58</v>
      </c>
      <c r="L21" s="41">
        <v>43022.0</v>
      </c>
      <c r="M21" s="9">
        <v>0.5166666666666667</v>
      </c>
      <c r="N21" s="9">
        <v>0.5347222222222222</v>
      </c>
      <c r="O21" s="8" t="s">
        <v>25</v>
      </c>
      <c r="P21" s="5" t="s">
        <v>79</v>
      </c>
      <c r="R21" s="9">
        <f t="shared" si="2"/>
        <v>0.01805555556</v>
      </c>
      <c r="AA21" s="41"/>
      <c r="AB21" s="9"/>
      <c r="AC21" s="9"/>
    </row>
    <row r="22" ht="15.75" customHeight="1">
      <c r="D22" s="13">
        <v>2.0</v>
      </c>
      <c r="F22" s="11"/>
      <c r="G22" s="20"/>
      <c r="J22" s="11">
        <f t="shared" si="1"/>
        <v>0</v>
      </c>
      <c r="L22" s="41">
        <v>43022.0</v>
      </c>
      <c r="M22" s="9">
        <v>0.55625</v>
      </c>
      <c r="N22" s="9">
        <v>0.5625</v>
      </c>
      <c r="O22" s="8" t="s">
        <v>25</v>
      </c>
      <c r="R22" s="9">
        <f t="shared" si="2"/>
        <v>0.00625</v>
      </c>
      <c r="AA22" s="41"/>
      <c r="AB22" s="9"/>
      <c r="AC22" s="9"/>
    </row>
    <row r="23" ht="15.75" customHeight="1">
      <c r="D23" s="13">
        <v>5.0</v>
      </c>
      <c r="F23" s="11"/>
      <c r="G23" s="20"/>
      <c r="J23" s="11">
        <f t="shared" si="1"/>
        <v>0</v>
      </c>
      <c r="L23" s="41">
        <v>43022.0</v>
      </c>
      <c r="M23" s="9">
        <v>0.5659722222222222</v>
      </c>
      <c r="N23" s="9">
        <v>0.5715277777777777</v>
      </c>
      <c r="O23" s="8" t="s">
        <v>25</v>
      </c>
      <c r="R23" s="9">
        <f t="shared" si="2"/>
        <v>0.005555555556</v>
      </c>
      <c r="AA23" s="41"/>
      <c r="AB23" s="9"/>
      <c r="AC23" s="9"/>
    </row>
    <row r="24" ht="15.75" customHeight="1">
      <c r="D24" s="5">
        <v>8.0</v>
      </c>
      <c r="F24" s="11"/>
      <c r="G24" s="20"/>
      <c r="J24" s="11">
        <f t="shared" si="1"/>
        <v>0</v>
      </c>
      <c r="L24" s="41">
        <v>43022.0</v>
      </c>
      <c r="M24" s="9">
        <v>0.5784722222222222</v>
      </c>
      <c r="N24" s="9">
        <v>0.5909722222222222</v>
      </c>
      <c r="O24" s="8" t="s">
        <v>25</v>
      </c>
      <c r="R24" s="9">
        <f t="shared" si="2"/>
        <v>0.0125</v>
      </c>
      <c r="AA24" s="41"/>
      <c r="AB24" s="9"/>
      <c r="AC24" s="9"/>
    </row>
    <row r="25" ht="15.75" customHeight="1">
      <c r="D25" s="13">
        <v>6.0</v>
      </c>
      <c r="F25" s="11"/>
      <c r="G25" s="20"/>
      <c r="J25" s="11">
        <f t="shared" si="1"/>
        <v>0</v>
      </c>
      <c r="L25" s="41">
        <v>43022.0</v>
      </c>
      <c r="M25" s="9">
        <v>0.5972222222222222</v>
      </c>
      <c r="N25" s="9">
        <v>0.6034722222222222</v>
      </c>
      <c r="O25" s="8" t="s">
        <v>25</v>
      </c>
      <c r="R25" s="9">
        <f t="shared" si="2"/>
        <v>0.00625</v>
      </c>
      <c r="AA25" s="41"/>
      <c r="AB25" s="9"/>
      <c r="AC25" s="9"/>
    </row>
    <row r="26" ht="15.75" customHeight="1">
      <c r="B26" s="5" t="s">
        <v>48</v>
      </c>
      <c r="C26" s="5">
        <v>1.0</v>
      </c>
      <c r="D26" s="5">
        <v>11.0</v>
      </c>
      <c r="E26" s="5">
        <v>1.0</v>
      </c>
      <c r="F26" s="11">
        <v>303.0</v>
      </c>
      <c r="G26" s="20">
        <v>90.0</v>
      </c>
      <c r="H26" s="5">
        <v>2.0</v>
      </c>
      <c r="I26" s="5">
        <v>1.0</v>
      </c>
      <c r="J26" s="11">
        <f t="shared" si="1"/>
        <v>3.03</v>
      </c>
      <c r="L26" s="41">
        <v>43022.0</v>
      </c>
      <c r="M26" s="9">
        <v>0.6055555555555555</v>
      </c>
      <c r="N26" s="9">
        <v>0.6159722222222223</v>
      </c>
      <c r="O26" s="8" t="s">
        <v>25</v>
      </c>
      <c r="R26" s="9">
        <f t="shared" si="2"/>
        <v>0.01041666667</v>
      </c>
      <c r="AA26" s="41"/>
      <c r="AB26" s="9"/>
      <c r="AC26" s="9"/>
    </row>
    <row r="27" ht="15.75" customHeight="1">
      <c r="B27" s="5" t="s">
        <v>48</v>
      </c>
      <c r="C27" s="5">
        <v>1.0</v>
      </c>
      <c r="D27" s="5">
        <v>12.0</v>
      </c>
      <c r="E27" s="5">
        <v>1.0</v>
      </c>
      <c r="F27" s="11">
        <v>233.0</v>
      </c>
      <c r="G27" s="20">
        <v>172.0</v>
      </c>
      <c r="H27" s="5">
        <v>1.0</v>
      </c>
      <c r="I27" s="5">
        <v>5.0</v>
      </c>
      <c r="J27" s="11">
        <f t="shared" si="1"/>
        <v>2.33</v>
      </c>
      <c r="L27" s="41">
        <v>43022.0</v>
      </c>
      <c r="M27" s="9">
        <v>0.6270833333333333</v>
      </c>
      <c r="N27" s="9">
        <v>0.6298611111111111</v>
      </c>
      <c r="O27" s="8" t="s">
        <v>25</v>
      </c>
      <c r="R27" s="9">
        <f t="shared" si="2"/>
        <v>0.002777777778</v>
      </c>
      <c r="AA27" s="41"/>
      <c r="AB27" s="9"/>
      <c r="AC27" s="9"/>
    </row>
    <row r="28" ht="15.75" customHeight="1">
      <c r="B28" s="22"/>
      <c r="C28" s="22"/>
      <c r="D28" s="35">
        <v>1.0</v>
      </c>
      <c r="E28" s="22"/>
      <c r="F28" s="22"/>
      <c r="G28" s="48"/>
      <c r="H28" s="22"/>
      <c r="I28" s="22"/>
      <c r="J28" s="11">
        <f t="shared" si="1"/>
        <v>0</v>
      </c>
      <c r="K28" s="22"/>
      <c r="L28" s="23">
        <v>43022.0</v>
      </c>
      <c r="M28" s="33">
        <v>0.6319444444444444</v>
      </c>
      <c r="N28" s="33">
        <v>0.6361111111111112</v>
      </c>
      <c r="O28" s="25" t="s">
        <v>25</v>
      </c>
      <c r="P28" s="22"/>
      <c r="Q28" s="22"/>
      <c r="R28" s="9">
        <f t="shared" si="2"/>
        <v>0.004166666667</v>
      </c>
      <c r="AA28" s="41"/>
      <c r="AB28" s="7"/>
      <c r="AC28" s="7"/>
      <c r="AD28" s="8"/>
    </row>
    <row r="29" ht="15.75" customHeight="1">
      <c r="B29" s="5" t="s">
        <v>48</v>
      </c>
      <c r="C29" s="5">
        <v>1.0</v>
      </c>
      <c r="D29" s="5">
        <v>7.0</v>
      </c>
      <c r="E29" s="5">
        <v>1.0</v>
      </c>
      <c r="F29" s="11">
        <v>755.0</v>
      </c>
      <c r="G29" s="20">
        <v>160.0</v>
      </c>
      <c r="H29" s="5">
        <v>2.0</v>
      </c>
      <c r="I29" s="5">
        <v>1.0</v>
      </c>
      <c r="J29" s="11">
        <f t="shared" si="1"/>
        <v>7.55</v>
      </c>
      <c r="L29" s="34">
        <v>43064.0</v>
      </c>
      <c r="M29" s="9">
        <v>0.4840277777777778</v>
      </c>
      <c r="N29" s="9">
        <v>0.4930555555555556</v>
      </c>
      <c r="O29" s="8" t="s">
        <v>25</v>
      </c>
      <c r="R29" s="9">
        <f t="shared" si="2"/>
        <v>0.009027777778</v>
      </c>
      <c r="AA29" s="41"/>
      <c r="AB29" s="9"/>
      <c r="AC29" s="9"/>
    </row>
    <row r="30" ht="15.75" customHeight="1">
      <c r="B30" s="5" t="s">
        <v>48</v>
      </c>
      <c r="C30" s="5">
        <v>1.0</v>
      </c>
      <c r="D30" s="5">
        <v>7.0</v>
      </c>
      <c r="E30" s="5">
        <v>1.0</v>
      </c>
      <c r="F30" s="11">
        <v>541.0</v>
      </c>
      <c r="G30" s="20">
        <v>160.0</v>
      </c>
      <c r="H30" s="5">
        <v>2.0</v>
      </c>
      <c r="I30" s="5">
        <v>1.0</v>
      </c>
      <c r="J30" s="11">
        <f t="shared" si="1"/>
        <v>5.41</v>
      </c>
      <c r="L30" s="34">
        <v>43064.0</v>
      </c>
      <c r="M30" s="9"/>
      <c r="N30" s="9"/>
      <c r="O30" s="8" t="s">
        <v>25</v>
      </c>
      <c r="R30" s="9">
        <f t="shared" si="2"/>
        <v>0</v>
      </c>
      <c r="AA30" s="41"/>
      <c r="AB30" s="9"/>
      <c r="AC30" s="9"/>
    </row>
    <row r="31" ht="15.75" customHeight="1">
      <c r="B31" s="5" t="s">
        <v>48</v>
      </c>
      <c r="C31" s="5">
        <v>1.0</v>
      </c>
      <c r="D31" s="5">
        <v>7.0</v>
      </c>
      <c r="E31" s="5">
        <v>1.0</v>
      </c>
      <c r="F31" s="11">
        <v>2800.0</v>
      </c>
      <c r="G31" s="20">
        <v>800.0</v>
      </c>
      <c r="H31" s="5">
        <v>2.0</v>
      </c>
      <c r="I31" s="5">
        <v>1.0</v>
      </c>
      <c r="J31" s="11">
        <f t="shared" si="1"/>
        <v>28</v>
      </c>
      <c r="L31" s="34">
        <v>43064.0</v>
      </c>
      <c r="M31" s="9"/>
      <c r="N31" s="9"/>
      <c r="O31" s="8" t="s">
        <v>25</v>
      </c>
      <c r="R31" s="9">
        <f t="shared" si="2"/>
        <v>0</v>
      </c>
      <c r="AA31" s="41"/>
      <c r="AB31" s="9"/>
      <c r="AC31" s="9"/>
    </row>
    <row r="32" ht="15.75" customHeight="1">
      <c r="B32" s="5" t="s">
        <v>48</v>
      </c>
      <c r="C32" s="5">
        <v>1.0</v>
      </c>
      <c r="D32" s="5">
        <v>7.0</v>
      </c>
      <c r="E32" s="5">
        <v>1.0</v>
      </c>
      <c r="F32" s="11">
        <v>266.0</v>
      </c>
      <c r="G32" s="20">
        <v>180.0</v>
      </c>
      <c r="H32" s="5">
        <v>2.0</v>
      </c>
      <c r="I32" s="5">
        <v>1.0</v>
      </c>
      <c r="J32" s="11">
        <f t="shared" si="1"/>
        <v>2.66</v>
      </c>
      <c r="L32" s="27">
        <v>43064.0</v>
      </c>
      <c r="M32" s="9"/>
      <c r="N32" s="9"/>
      <c r="O32" s="8" t="s">
        <v>25</v>
      </c>
      <c r="R32" s="9">
        <f t="shared" si="2"/>
        <v>0</v>
      </c>
      <c r="AA32" s="41"/>
      <c r="AB32" s="9"/>
      <c r="AC32" s="9"/>
      <c r="AD32" s="8"/>
    </row>
    <row r="33" ht="15.75" customHeight="1">
      <c r="B33" s="5" t="s">
        <v>48</v>
      </c>
      <c r="C33" s="5">
        <v>1.0</v>
      </c>
      <c r="D33" s="5">
        <v>7.0</v>
      </c>
      <c r="E33" s="5">
        <v>1.0</v>
      </c>
      <c r="F33" s="11">
        <v>266.0</v>
      </c>
      <c r="G33" s="20">
        <v>160.0</v>
      </c>
      <c r="H33" s="5">
        <v>2.0</v>
      </c>
      <c r="I33" s="5">
        <v>1.0</v>
      </c>
      <c r="J33" s="11">
        <f t="shared" si="1"/>
        <v>2.66</v>
      </c>
      <c r="L33" s="27">
        <v>43064.0</v>
      </c>
      <c r="M33" s="9"/>
      <c r="N33" s="9"/>
      <c r="O33" s="8" t="s">
        <v>25</v>
      </c>
      <c r="R33" s="9">
        <f t="shared" si="2"/>
        <v>0</v>
      </c>
      <c r="AA33" s="41"/>
      <c r="AB33" s="9"/>
      <c r="AC33" s="9"/>
      <c r="AD33" s="8"/>
    </row>
    <row r="34" ht="15.75" customHeight="1">
      <c r="D34" s="13">
        <v>4.0</v>
      </c>
      <c r="F34" s="11"/>
      <c r="G34" s="20"/>
      <c r="J34" s="11">
        <f t="shared" si="1"/>
        <v>0</v>
      </c>
      <c r="L34" s="27">
        <v>43064.0</v>
      </c>
      <c r="M34" s="7">
        <v>0.5076388888888889</v>
      </c>
      <c r="N34" s="7">
        <v>0.513888888888889</v>
      </c>
      <c r="O34" s="8" t="s">
        <v>25</v>
      </c>
      <c r="P34" s="8" t="s">
        <v>63</v>
      </c>
      <c r="Q34" s="8"/>
      <c r="R34" s="9">
        <f t="shared" si="2"/>
        <v>0.00625</v>
      </c>
      <c r="AA34" s="41"/>
      <c r="AB34" s="9"/>
      <c r="AC34" s="9"/>
      <c r="AD34" s="8"/>
    </row>
    <row r="35" ht="15.75" customHeight="1">
      <c r="B35" s="5" t="s">
        <v>48</v>
      </c>
      <c r="C35" s="5">
        <v>1.0</v>
      </c>
      <c r="D35" s="13">
        <v>3.0</v>
      </c>
      <c r="E35" s="5">
        <v>1.0</v>
      </c>
      <c r="F35" s="11">
        <v>127.0</v>
      </c>
      <c r="G35" s="20">
        <v>343.0</v>
      </c>
      <c r="H35" s="5">
        <v>1.0</v>
      </c>
      <c r="I35" s="5">
        <v>1.0</v>
      </c>
      <c r="J35" s="11">
        <f t="shared" si="1"/>
        <v>1.27</v>
      </c>
      <c r="L35" s="27">
        <v>43064.0</v>
      </c>
      <c r="M35" s="9">
        <v>0.5243055555555556</v>
      </c>
      <c r="N35" s="9">
        <v>0.5319444444444444</v>
      </c>
      <c r="O35" s="8" t="s">
        <v>25</v>
      </c>
      <c r="R35" s="9">
        <f t="shared" si="2"/>
        <v>0.007638888889</v>
      </c>
      <c r="AA35" s="41"/>
      <c r="AB35" s="7"/>
      <c r="AC35" s="7"/>
      <c r="AD35" s="8"/>
      <c r="AE35" s="8"/>
    </row>
    <row r="36" ht="15.75" customHeight="1">
      <c r="D36" s="5">
        <v>9.0</v>
      </c>
      <c r="F36" s="11"/>
      <c r="G36" s="20"/>
      <c r="J36" s="11">
        <f t="shared" si="1"/>
        <v>0</v>
      </c>
      <c r="L36" s="27">
        <v>43064.0</v>
      </c>
      <c r="M36" s="9">
        <v>0.5409722222222222</v>
      </c>
      <c r="N36" s="9">
        <v>0.5493055555555556</v>
      </c>
      <c r="O36" s="8" t="s">
        <v>25</v>
      </c>
      <c r="R36" s="9">
        <f t="shared" si="2"/>
        <v>0.008333333333</v>
      </c>
      <c r="AA36" s="41"/>
      <c r="AB36" s="7"/>
      <c r="AC36" s="7"/>
      <c r="AD36" s="8"/>
      <c r="AE36" s="8"/>
    </row>
    <row r="37" ht="15.75" customHeight="1">
      <c r="B37" s="5" t="s">
        <v>48</v>
      </c>
      <c r="C37" s="5">
        <v>1.0</v>
      </c>
      <c r="D37" s="5">
        <v>10.0</v>
      </c>
      <c r="E37" s="5">
        <v>1.0</v>
      </c>
      <c r="F37" s="11">
        <v>650.0</v>
      </c>
      <c r="G37" s="20">
        <v>270.0</v>
      </c>
      <c r="H37" s="5">
        <v>1.0</v>
      </c>
      <c r="I37" s="5">
        <v>1.0</v>
      </c>
      <c r="J37" s="11">
        <f t="shared" si="1"/>
        <v>6.5</v>
      </c>
      <c r="L37" s="27">
        <v>43064.0</v>
      </c>
      <c r="M37" s="9">
        <v>0.5534722222222223</v>
      </c>
      <c r="N37" s="9">
        <v>0.5611111111111111</v>
      </c>
      <c r="O37" s="8" t="s">
        <v>25</v>
      </c>
      <c r="R37" s="9">
        <f t="shared" si="2"/>
        <v>0.007638888889</v>
      </c>
      <c r="AA37" s="41"/>
      <c r="AB37" s="7"/>
      <c r="AC37" s="7"/>
      <c r="AD37" s="8"/>
      <c r="AE37" s="8"/>
    </row>
    <row r="38" ht="15.75" customHeight="1">
      <c r="B38" s="5" t="s">
        <v>48</v>
      </c>
      <c r="C38" s="5">
        <v>1.0</v>
      </c>
      <c r="D38" s="5">
        <v>10.0</v>
      </c>
      <c r="E38" s="5">
        <v>1.0</v>
      </c>
      <c r="F38" s="11">
        <v>815.0</v>
      </c>
      <c r="G38" s="20">
        <v>100.0</v>
      </c>
      <c r="H38" s="5">
        <v>1.0</v>
      </c>
      <c r="I38" s="5">
        <v>1.0</v>
      </c>
      <c r="J38" s="11">
        <f t="shared" si="1"/>
        <v>8.15</v>
      </c>
      <c r="K38" s="5" t="s">
        <v>55</v>
      </c>
      <c r="L38" s="27">
        <v>43064.0</v>
      </c>
      <c r="M38" s="9"/>
      <c r="N38" s="9"/>
      <c r="O38" s="8" t="s">
        <v>25</v>
      </c>
      <c r="R38" s="9">
        <f t="shared" si="2"/>
        <v>0</v>
      </c>
      <c r="AA38" s="41"/>
      <c r="AB38" s="7"/>
      <c r="AC38" s="7"/>
      <c r="AD38" s="8"/>
      <c r="AE38" s="8"/>
    </row>
    <row r="39" ht="15.75" customHeight="1">
      <c r="D39" s="13">
        <v>2.0</v>
      </c>
      <c r="F39" s="11"/>
      <c r="G39" s="20"/>
      <c r="J39" s="11">
        <f t="shared" si="1"/>
        <v>0</v>
      </c>
      <c r="L39" s="27">
        <v>43064.0</v>
      </c>
      <c r="M39" s="9">
        <v>0.5916666666666667</v>
      </c>
      <c r="N39" s="9">
        <v>0.5972222222222222</v>
      </c>
      <c r="O39" s="8" t="s">
        <v>25</v>
      </c>
      <c r="R39" s="9">
        <f t="shared" si="2"/>
        <v>0.005555555556</v>
      </c>
      <c r="AA39" s="41"/>
      <c r="AB39" s="7"/>
      <c r="AC39" s="7"/>
      <c r="AD39" s="8"/>
      <c r="AE39" s="8"/>
    </row>
    <row r="40" ht="15.75" customHeight="1">
      <c r="B40" s="5" t="s">
        <v>48</v>
      </c>
      <c r="C40" s="5">
        <v>1.0</v>
      </c>
      <c r="D40" s="13">
        <v>5.0</v>
      </c>
      <c r="E40" s="5">
        <v>1.0</v>
      </c>
      <c r="F40" s="11">
        <v>665.0</v>
      </c>
      <c r="G40" s="20">
        <v>185.0</v>
      </c>
      <c r="H40" s="5">
        <v>1.0</v>
      </c>
      <c r="I40" s="5">
        <v>1.0</v>
      </c>
      <c r="J40" s="11">
        <f t="shared" si="1"/>
        <v>6.65</v>
      </c>
      <c r="L40" s="27">
        <v>43064.0</v>
      </c>
      <c r="M40" s="9">
        <v>0.6</v>
      </c>
      <c r="N40" s="9">
        <v>0.607638888888889</v>
      </c>
      <c r="O40" s="8" t="s">
        <v>25</v>
      </c>
      <c r="R40" s="9">
        <f t="shared" si="2"/>
        <v>0.007638888889</v>
      </c>
      <c r="AA40" s="41"/>
      <c r="AB40" s="7"/>
      <c r="AC40" s="7"/>
      <c r="AD40" s="8"/>
      <c r="AE40" s="8"/>
    </row>
    <row r="41" ht="15.75" customHeight="1">
      <c r="D41" s="5">
        <v>8.0</v>
      </c>
      <c r="F41" s="11"/>
      <c r="G41" s="20"/>
      <c r="J41" s="11">
        <f t="shared" si="1"/>
        <v>0</v>
      </c>
      <c r="L41" s="27">
        <v>43064.0</v>
      </c>
      <c r="M41" s="9">
        <v>0.61875</v>
      </c>
      <c r="N41" s="9">
        <v>0.6277777777777778</v>
      </c>
      <c r="O41" s="8" t="s">
        <v>25</v>
      </c>
      <c r="P41" s="5" t="s">
        <v>64</v>
      </c>
      <c r="R41" s="9">
        <f t="shared" si="2"/>
        <v>0.009027777778</v>
      </c>
      <c r="AA41" s="41"/>
      <c r="AB41" s="7"/>
      <c r="AC41" s="7"/>
      <c r="AD41" s="8"/>
      <c r="AE41" s="8"/>
    </row>
    <row r="42" ht="15.75" customHeight="1">
      <c r="D42" s="13">
        <v>6.0</v>
      </c>
      <c r="F42" s="11"/>
      <c r="G42" s="20"/>
      <c r="J42" s="11">
        <f t="shared" si="1"/>
        <v>0</v>
      </c>
      <c r="L42" s="27">
        <v>43064.0</v>
      </c>
      <c r="M42" s="9">
        <v>0.6375000000000001</v>
      </c>
      <c r="N42" s="9">
        <v>0.6451388888888888</v>
      </c>
      <c r="O42" s="8" t="s">
        <v>25</v>
      </c>
      <c r="R42" s="9">
        <f t="shared" si="2"/>
        <v>0.007638888889</v>
      </c>
      <c r="AA42" s="41"/>
      <c r="AB42" s="7"/>
      <c r="AC42" s="7"/>
      <c r="AD42" s="8"/>
    </row>
    <row r="43" ht="15.75" customHeight="1">
      <c r="B43" s="5" t="s">
        <v>48</v>
      </c>
      <c r="C43" s="5">
        <v>1.0</v>
      </c>
      <c r="D43" s="5">
        <v>11.0</v>
      </c>
      <c r="E43" s="5">
        <v>1.0</v>
      </c>
      <c r="F43" s="11">
        <v>512.0</v>
      </c>
      <c r="G43" s="20">
        <v>230.0</v>
      </c>
      <c r="H43" s="5">
        <v>2.0</v>
      </c>
      <c r="I43" s="5">
        <v>1.0</v>
      </c>
      <c r="J43" s="11">
        <f t="shared" si="1"/>
        <v>5.12</v>
      </c>
      <c r="L43" s="27">
        <v>43064.0</v>
      </c>
      <c r="M43" s="7">
        <v>0.6513888888888889</v>
      </c>
      <c r="N43" s="7">
        <v>0.6569444444444444</v>
      </c>
      <c r="O43" s="8" t="s">
        <v>25</v>
      </c>
      <c r="R43" s="9">
        <f t="shared" si="2"/>
        <v>0.005555555556</v>
      </c>
      <c r="AA43" s="41"/>
      <c r="AB43" s="7"/>
      <c r="AC43" s="7"/>
      <c r="AD43" s="8"/>
    </row>
    <row r="44" ht="15.75" customHeight="1">
      <c r="B44" s="5" t="s">
        <v>48</v>
      </c>
      <c r="C44" s="5">
        <v>1.0</v>
      </c>
      <c r="D44" s="5">
        <v>11.0</v>
      </c>
      <c r="E44" s="5">
        <v>1.0</v>
      </c>
      <c r="F44" s="11">
        <v>512.0</v>
      </c>
      <c r="G44" s="20">
        <v>148.0</v>
      </c>
      <c r="H44" s="5">
        <v>2.0</v>
      </c>
      <c r="I44" s="5">
        <v>1.0</v>
      </c>
      <c r="J44" s="11">
        <f t="shared" si="1"/>
        <v>5.12</v>
      </c>
      <c r="L44" s="27">
        <v>43064.0</v>
      </c>
      <c r="M44" s="7"/>
      <c r="N44" s="7"/>
      <c r="O44" s="8" t="s">
        <v>25</v>
      </c>
      <c r="R44" s="9">
        <f t="shared" si="2"/>
        <v>0</v>
      </c>
      <c r="AA44" s="41"/>
      <c r="AB44" s="7"/>
      <c r="AC44" s="7"/>
      <c r="AD44" s="8"/>
    </row>
    <row r="45" ht="15.75" customHeight="1">
      <c r="B45" s="5" t="s">
        <v>48</v>
      </c>
      <c r="C45" s="5">
        <v>1.0</v>
      </c>
      <c r="D45" s="5">
        <v>12.0</v>
      </c>
      <c r="E45" s="5">
        <v>1.0</v>
      </c>
      <c r="F45" s="11">
        <v>154.0</v>
      </c>
      <c r="G45" s="20">
        <v>147.0</v>
      </c>
      <c r="H45" s="5">
        <v>2.0</v>
      </c>
      <c r="I45" s="5">
        <v>5.0</v>
      </c>
      <c r="J45" s="11">
        <f t="shared" si="1"/>
        <v>1.54</v>
      </c>
      <c r="L45" s="27">
        <v>43064.0</v>
      </c>
      <c r="M45" s="9">
        <v>0.6694444444444444</v>
      </c>
      <c r="N45" s="9">
        <v>0.6854166666666667</v>
      </c>
      <c r="O45" s="8" t="s">
        <v>25</v>
      </c>
      <c r="R45" s="9">
        <f t="shared" si="2"/>
        <v>0.01597222222</v>
      </c>
      <c r="AA45" s="41"/>
      <c r="AB45" s="7"/>
      <c r="AC45" s="7"/>
      <c r="AD45" s="8"/>
    </row>
    <row r="46" ht="15.75" customHeight="1">
      <c r="B46" s="5" t="s">
        <v>48</v>
      </c>
      <c r="C46" s="22">
        <v>1.0</v>
      </c>
      <c r="D46" s="35">
        <v>1.0</v>
      </c>
      <c r="E46" s="22">
        <v>1.0</v>
      </c>
      <c r="F46" s="22"/>
      <c r="G46" s="48"/>
      <c r="H46" s="22"/>
      <c r="I46" s="22"/>
      <c r="J46" s="11">
        <f t="shared" si="1"/>
        <v>0</v>
      </c>
      <c r="K46" s="22"/>
      <c r="L46" s="29">
        <v>43064.0</v>
      </c>
      <c r="M46" s="33">
        <v>0.6763888888888889</v>
      </c>
      <c r="N46" s="33">
        <v>0.6826388888888889</v>
      </c>
      <c r="O46" s="25" t="s">
        <v>25</v>
      </c>
      <c r="P46" s="22" t="s">
        <v>78</v>
      </c>
      <c r="R46" s="9">
        <f t="shared" si="2"/>
        <v>0.00625</v>
      </c>
      <c r="AA46" s="41"/>
      <c r="AB46" s="7"/>
      <c r="AC46" s="7"/>
      <c r="AD46" s="8"/>
    </row>
    <row r="47" ht="15.75" customHeight="1">
      <c r="D47" s="5">
        <v>12.0</v>
      </c>
      <c r="F47" s="11"/>
      <c r="G47" s="20"/>
      <c r="J47" s="11">
        <f t="shared" si="1"/>
        <v>0</v>
      </c>
      <c r="L47" s="34">
        <v>43078.0</v>
      </c>
      <c r="M47" s="9">
        <v>0.6048611111111112</v>
      </c>
      <c r="N47" s="9">
        <v>0.6090277777777778</v>
      </c>
      <c r="O47" s="8" t="s">
        <v>25</v>
      </c>
      <c r="P47" s="5" t="s">
        <v>63</v>
      </c>
      <c r="R47" s="9">
        <f t="shared" si="2"/>
        <v>0.004166666667</v>
      </c>
      <c r="Z47" s="41"/>
      <c r="AA47" s="41"/>
      <c r="AB47" s="7"/>
      <c r="AC47" s="7"/>
      <c r="AD47" s="8"/>
    </row>
    <row r="48" ht="15.75" customHeight="1">
      <c r="D48" s="13">
        <v>1.0</v>
      </c>
      <c r="F48" s="11"/>
      <c r="G48" s="20"/>
      <c r="J48" s="11">
        <f t="shared" si="1"/>
        <v>0</v>
      </c>
      <c r="L48" s="34">
        <v>43078.0</v>
      </c>
      <c r="M48" s="9">
        <v>0.611111111111111</v>
      </c>
      <c r="N48" s="9">
        <v>0.6159722222222223</v>
      </c>
      <c r="O48" s="8" t="s">
        <v>25</v>
      </c>
      <c r="P48" s="5" t="s">
        <v>63</v>
      </c>
      <c r="R48" s="9">
        <f t="shared" si="2"/>
        <v>0.004861111111</v>
      </c>
      <c r="AA48" s="41"/>
      <c r="AB48" s="7"/>
      <c r="AC48" s="7"/>
      <c r="AD48" s="8"/>
    </row>
    <row r="49" ht="15.75" customHeight="1">
      <c r="B49" s="5" t="s">
        <v>48</v>
      </c>
      <c r="C49" s="5">
        <v>1.0</v>
      </c>
      <c r="D49" s="5">
        <v>7.0</v>
      </c>
      <c r="E49" s="5">
        <v>1.0</v>
      </c>
      <c r="F49" s="11">
        <v>490.0</v>
      </c>
      <c r="G49" s="20">
        <v>130.0</v>
      </c>
      <c r="H49" s="5">
        <v>2.0</v>
      </c>
      <c r="I49" s="5">
        <v>1.0</v>
      </c>
      <c r="J49" s="11">
        <f t="shared" si="1"/>
        <v>4.9</v>
      </c>
      <c r="L49" s="34">
        <v>43078.0</v>
      </c>
      <c r="M49" s="9">
        <v>0.46388888888888885</v>
      </c>
      <c r="N49" s="9">
        <v>0.4763888888888889</v>
      </c>
      <c r="O49" s="8" t="s">
        <v>70</v>
      </c>
      <c r="R49" s="9">
        <f t="shared" si="2"/>
        <v>0.0125</v>
      </c>
      <c r="AA49" s="41"/>
      <c r="AB49" s="7"/>
      <c r="AC49" s="7"/>
      <c r="AD49" s="8"/>
    </row>
    <row r="50" ht="15.75" customHeight="1">
      <c r="B50" s="5" t="s">
        <v>48</v>
      </c>
      <c r="C50" s="5">
        <v>1.0</v>
      </c>
      <c r="D50" s="13">
        <v>4.0</v>
      </c>
      <c r="E50" s="5">
        <v>1.0</v>
      </c>
      <c r="F50" s="11">
        <v>923.0</v>
      </c>
      <c r="G50" s="20">
        <v>90.0</v>
      </c>
      <c r="H50" s="5">
        <v>1.0</v>
      </c>
      <c r="I50" s="5">
        <v>1.0</v>
      </c>
      <c r="J50" s="11">
        <f t="shared" si="1"/>
        <v>9.23</v>
      </c>
      <c r="K50" s="5" t="s">
        <v>55</v>
      </c>
      <c r="L50" s="34">
        <v>43078.0</v>
      </c>
      <c r="M50" s="9">
        <v>0.4861111111111111</v>
      </c>
      <c r="N50" s="9">
        <v>0.4930555555555556</v>
      </c>
      <c r="O50" s="8" t="s">
        <v>70</v>
      </c>
      <c r="R50" s="9">
        <f t="shared" si="2"/>
        <v>0.006944444444</v>
      </c>
      <c r="AA50" s="41"/>
      <c r="AB50" s="9"/>
      <c r="AC50" s="9"/>
      <c r="AD50" s="8"/>
    </row>
    <row r="51" ht="15.75" customHeight="1">
      <c r="B51" s="5" t="s">
        <v>48</v>
      </c>
      <c r="C51" s="5">
        <v>1.0</v>
      </c>
      <c r="D51" s="13">
        <v>3.0</v>
      </c>
      <c r="E51" s="8">
        <v>1.0</v>
      </c>
      <c r="F51" s="8">
        <v>1150.0</v>
      </c>
      <c r="G51" s="49">
        <v>113.0</v>
      </c>
      <c r="H51" s="8">
        <v>1.0</v>
      </c>
      <c r="I51" s="8">
        <v>1.0</v>
      </c>
      <c r="J51" s="11">
        <f t="shared" si="1"/>
        <v>11.5</v>
      </c>
      <c r="K51" s="8" t="s">
        <v>55</v>
      </c>
      <c r="L51" s="27">
        <v>43078.0</v>
      </c>
      <c r="M51" s="7">
        <v>0.49652777777777773</v>
      </c>
      <c r="N51" s="7">
        <v>0.5069444444444444</v>
      </c>
      <c r="O51" s="8" t="s">
        <v>25</v>
      </c>
      <c r="R51" s="9">
        <f t="shared" si="2"/>
        <v>0.01041666667</v>
      </c>
      <c r="AA51" s="41"/>
      <c r="AB51" s="9"/>
      <c r="AC51" s="9"/>
      <c r="AD51" s="8"/>
    </row>
    <row r="52" ht="15.75" customHeight="1">
      <c r="D52" s="5">
        <v>9.0</v>
      </c>
      <c r="F52" s="11"/>
      <c r="G52" s="20"/>
      <c r="J52" s="11">
        <f t="shared" si="1"/>
        <v>0</v>
      </c>
      <c r="L52" s="34">
        <v>43078.0</v>
      </c>
      <c r="M52" s="9">
        <v>0.513888888888889</v>
      </c>
      <c r="N52" s="9">
        <v>0.5208333333333334</v>
      </c>
      <c r="O52" s="8" t="s">
        <v>25</v>
      </c>
      <c r="P52" s="5" t="s">
        <v>63</v>
      </c>
      <c r="R52" s="9">
        <f t="shared" si="2"/>
        <v>0.006944444444</v>
      </c>
      <c r="AA52" s="41"/>
      <c r="AB52" s="9"/>
      <c r="AC52" s="9"/>
      <c r="AD52" s="8"/>
    </row>
    <row r="53" ht="15.75" customHeight="1">
      <c r="D53" s="5">
        <v>10.0</v>
      </c>
      <c r="F53" s="11"/>
      <c r="G53" s="20"/>
      <c r="J53" s="11">
        <f t="shared" si="1"/>
        <v>0</v>
      </c>
      <c r="L53" s="34">
        <v>43078.0</v>
      </c>
      <c r="M53" s="9">
        <v>0.5236111111111111</v>
      </c>
      <c r="N53" s="9">
        <v>0.5291666666666667</v>
      </c>
      <c r="O53" s="8" t="s">
        <v>25</v>
      </c>
      <c r="R53" s="9">
        <f t="shared" si="2"/>
        <v>0.005555555556</v>
      </c>
      <c r="AA53" s="41"/>
      <c r="AB53" s="7"/>
      <c r="AC53" s="7"/>
      <c r="AD53" s="8"/>
    </row>
    <row r="54" ht="15.75" customHeight="1">
      <c r="D54" s="13">
        <v>2.0</v>
      </c>
      <c r="F54" s="11"/>
      <c r="G54" s="20"/>
      <c r="J54" s="11">
        <f t="shared" si="1"/>
        <v>0</v>
      </c>
      <c r="L54" s="27">
        <v>43078.0</v>
      </c>
      <c r="M54" s="9">
        <v>0.5381944444444444</v>
      </c>
      <c r="N54" s="9">
        <v>0.545138888888889</v>
      </c>
      <c r="O54" s="8" t="s">
        <v>25</v>
      </c>
      <c r="R54" s="9">
        <f t="shared" si="2"/>
        <v>0.006944444444</v>
      </c>
      <c r="AA54" s="41"/>
      <c r="AB54" s="9"/>
      <c r="AC54" s="9"/>
      <c r="AD54" s="8"/>
    </row>
    <row r="55" ht="15.75" customHeight="1">
      <c r="B55" s="5" t="s">
        <v>48</v>
      </c>
      <c r="C55" s="5">
        <v>1.0</v>
      </c>
      <c r="D55" s="13">
        <v>5.0</v>
      </c>
      <c r="E55" s="5">
        <v>1.0</v>
      </c>
      <c r="F55" s="11">
        <v>512.0</v>
      </c>
      <c r="G55" s="20">
        <v>100.0</v>
      </c>
      <c r="H55" s="5">
        <v>1.0</v>
      </c>
      <c r="I55" s="5">
        <v>1.0</v>
      </c>
      <c r="J55" s="11">
        <f t="shared" si="1"/>
        <v>5.12</v>
      </c>
      <c r="K55" s="5" t="s">
        <v>57</v>
      </c>
      <c r="L55" s="27">
        <v>43078.0</v>
      </c>
      <c r="M55" s="9">
        <v>0.5479166666666667</v>
      </c>
      <c r="N55" s="9">
        <v>0.5534722222222223</v>
      </c>
      <c r="O55" s="8" t="s">
        <v>25</v>
      </c>
      <c r="R55" s="9">
        <f t="shared" si="2"/>
        <v>0.005555555556</v>
      </c>
      <c r="AA55" s="27"/>
      <c r="AB55" s="7"/>
      <c r="AC55" s="7"/>
      <c r="AD55" s="8"/>
    </row>
    <row r="56" ht="15.75" customHeight="1">
      <c r="D56" s="5">
        <v>8.0</v>
      </c>
      <c r="F56" s="11"/>
      <c r="G56" s="20"/>
      <c r="J56" s="11">
        <f t="shared" si="1"/>
        <v>0</v>
      </c>
      <c r="L56" s="27">
        <v>43078.0</v>
      </c>
      <c r="M56" s="9">
        <v>0.5611111111111111</v>
      </c>
      <c r="N56" s="9">
        <v>0.5694444444444444</v>
      </c>
      <c r="O56" s="5" t="s">
        <v>25</v>
      </c>
      <c r="P56" s="27" t="s">
        <v>63</v>
      </c>
      <c r="Q56" s="27"/>
      <c r="R56" s="9">
        <f t="shared" si="2"/>
        <v>0.008333333333</v>
      </c>
      <c r="AA56" s="27"/>
      <c r="AB56" s="9"/>
      <c r="AC56" s="9"/>
      <c r="AD56" s="8"/>
    </row>
    <row r="57" ht="15.75" customHeight="1">
      <c r="D57" s="13">
        <v>6.0</v>
      </c>
      <c r="F57" s="11"/>
      <c r="G57" s="20"/>
      <c r="J57" s="11">
        <f t="shared" si="1"/>
        <v>0</v>
      </c>
      <c r="L57" s="27">
        <v>43078.0</v>
      </c>
      <c r="M57" s="9">
        <v>0.5819444444444445</v>
      </c>
      <c r="N57" s="9">
        <v>0.5888888888888889</v>
      </c>
      <c r="O57" s="8" t="s">
        <v>25</v>
      </c>
      <c r="R57" s="9">
        <f t="shared" si="2"/>
        <v>0.006944444444</v>
      </c>
      <c r="AA57" s="27"/>
      <c r="AB57" s="7"/>
      <c r="AC57" s="7"/>
      <c r="AD57" s="8"/>
    </row>
    <row r="58" ht="15.75" customHeight="1">
      <c r="B58" s="22"/>
      <c r="C58" s="22"/>
      <c r="D58" s="22">
        <v>11.0</v>
      </c>
      <c r="E58" s="22"/>
      <c r="F58" s="22"/>
      <c r="G58" s="48"/>
      <c r="H58" s="22"/>
      <c r="I58" s="22"/>
      <c r="J58" s="11">
        <f t="shared" si="1"/>
        <v>0</v>
      </c>
      <c r="K58" s="22"/>
      <c r="L58" s="29">
        <v>43078.0</v>
      </c>
      <c r="M58" s="33">
        <v>0.5923611111111111</v>
      </c>
      <c r="N58" s="33">
        <v>0.5972222222222222</v>
      </c>
      <c r="O58" s="25" t="s">
        <v>25</v>
      </c>
      <c r="P58" s="22"/>
      <c r="R58" s="9">
        <f t="shared" si="2"/>
        <v>0.004861111111</v>
      </c>
      <c r="AA58" s="27"/>
      <c r="AB58" s="7"/>
      <c r="AC58" s="7"/>
      <c r="AD58" s="8"/>
    </row>
    <row r="59" ht="15.75" customHeight="1">
      <c r="D59" s="5">
        <v>7.0</v>
      </c>
      <c r="F59" s="11"/>
      <c r="G59" s="20"/>
      <c r="J59" s="11">
        <f t="shared" si="1"/>
        <v>0</v>
      </c>
      <c r="L59" s="34">
        <v>42748.0</v>
      </c>
      <c r="M59" s="9">
        <v>0.4513888888888889</v>
      </c>
      <c r="N59" s="9">
        <v>0.45694444444444443</v>
      </c>
      <c r="O59" s="8" t="s">
        <v>70</v>
      </c>
      <c r="R59" s="9">
        <f t="shared" si="2"/>
        <v>0.005555555556</v>
      </c>
      <c r="AA59" s="27"/>
      <c r="AB59" s="7"/>
      <c r="AC59" s="7"/>
      <c r="AD59" s="8"/>
    </row>
    <row r="60" ht="15.75" customHeight="1">
      <c r="B60" s="5" t="s">
        <v>48</v>
      </c>
      <c r="C60" s="5">
        <v>1.0</v>
      </c>
      <c r="D60" s="13">
        <v>4.0</v>
      </c>
      <c r="E60" s="5">
        <v>1.0</v>
      </c>
      <c r="F60" s="11">
        <v>595.0</v>
      </c>
      <c r="G60" s="20">
        <v>250.0</v>
      </c>
      <c r="H60" s="5">
        <v>1.0</v>
      </c>
      <c r="I60" s="5">
        <v>1.0</v>
      </c>
      <c r="J60" s="11">
        <f t="shared" si="1"/>
        <v>5.95</v>
      </c>
      <c r="L60" s="34">
        <v>42748.0</v>
      </c>
      <c r="M60" s="9">
        <v>0.46597222222222223</v>
      </c>
      <c r="N60" s="9">
        <v>0.4777777777777778</v>
      </c>
      <c r="O60" s="8" t="s">
        <v>25</v>
      </c>
      <c r="R60" s="9">
        <f t="shared" si="2"/>
        <v>0.01180555556</v>
      </c>
      <c r="AA60" s="27"/>
      <c r="AB60" s="7"/>
      <c r="AC60" s="7"/>
      <c r="AD60" s="8"/>
    </row>
    <row r="61" ht="15.75" customHeight="1">
      <c r="B61" s="5" t="s">
        <v>48</v>
      </c>
      <c r="C61" s="5">
        <v>1.0</v>
      </c>
      <c r="D61" s="13">
        <v>4.0</v>
      </c>
      <c r="E61" s="5">
        <v>1.0</v>
      </c>
      <c r="F61" s="11">
        <v>595.0</v>
      </c>
      <c r="G61" s="20">
        <v>800.0</v>
      </c>
      <c r="H61" s="5">
        <v>1.0</v>
      </c>
      <c r="I61" s="5">
        <v>1.0</v>
      </c>
      <c r="J61" s="11">
        <f t="shared" si="1"/>
        <v>5.95</v>
      </c>
      <c r="L61" s="34">
        <v>42748.0</v>
      </c>
      <c r="M61" s="9"/>
      <c r="N61" s="9"/>
      <c r="O61" s="8" t="s">
        <v>25</v>
      </c>
      <c r="R61" s="9">
        <f t="shared" si="2"/>
        <v>0</v>
      </c>
      <c r="AA61" s="27"/>
      <c r="AB61" s="7"/>
      <c r="AC61" s="7"/>
      <c r="AD61" s="8"/>
    </row>
    <row r="62" ht="15.75" customHeight="1">
      <c r="B62" s="5" t="s">
        <v>48</v>
      </c>
      <c r="C62" s="5">
        <v>1.0</v>
      </c>
      <c r="D62" s="13">
        <v>4.0</v>
      </c>
      <c r="E62" s="5">
        <v>1.0</v>
      </c>
      <c r="F62" s="11">
        <v>595.0</v>
      </c>
      <c r="G62" s="20">
        <v>800.0</v>
      </c>
      <c r="H62" s="5">
        <v>1.0</v>
      </c>
      <c r="I62" s="5">
        <v>1.0</v>
      </c>
      <c r="J62" s="11">
        <f t="shared" si="1"/>
        <v>5.95</v>
      </c>
      <c r="L62" s="34">
        <v>42748.0</v>
      </c>
      <c r="M62" s="9"/>
      <c r="N62" s="9"/>
      <c r="O62" s="8" t="s">
        <v>25</v>
      </c>
      <c r="R62" s="9">
        <f t="shared" si="2"/>
        <v>0</v>
      </c>
      <c r="AA62" s="27"/>
      <c r="AB62" s="7"/>
      <c r="AC62" s="7"/>
      <c r="AD62" s="8"/>
    </row>
    <row r="63" ht="15.75" customHeight="1">
      <c r="D63" s="13">
        <v>3.0</v>
      </c>
      <c r="F63" s="11"/>
      <c r="G63" s="20"/>
      <c r="J63" s="11">
        <f t="shared" si="1"/>
        <v>0</v>
      </c>
      <c r="L63" s="34">
        <v>42748.0</v>
      </c>
      <c r="M63" s="9">
        <v>0.48055555555555557</v>
      </c>
      <c r="N63" s="9">
        <v>0.4875</v>
      </c>
      <c r="O63" s="8" t="s">
        <v>25</v>
      </c>
      <c r="R63" s="9">
        <f t="shared" si="2"/>
        <v>0.006944444444</v>
      </c>
      <c r="AA63" s="27"/>
      <c r="AB63" s="7"/>
      <c r="AC63" s="7"/>
      <c r="AD63" s="8"/>
      <c r="AE63" s="8"/>
    </row>
    <row r="64" ht="15.75" customHeight="1">
      <c r="D64" s="5">
        <v>9.0</v>
      </c>
      <c r="F64" s="11"/>
      <c r="G64" s="20"/>
      <c r="J64" s="11">
        <f t="shared" si="1"/>
        <v>0</v>
      </c>
      <c r="L64" s="34">
        <v>42748.0</v>
      </c>
      <c r="M64" s="9">
        <v>0.49583333333333335</v>
      </c>
      <c r="N64" s="9">
        <v>0.5020833333333333</v>
      </c>
      <c r="O64" s="8" t="s">
        <v>25</v>
      </c>
      <c r="R64" s="9">
        <f t="shared" si="2"/>
        <v>0.00625</v>
      </c>
      <c r="AA64" s="27"/>
      <c r="AB64" s="7"/>
      <c r="AC64" s="7"/>
      <c r="AD64" s="8"/>
      <c r="AE64" s="8"/>
    </row>
    <row r="65" ht="15.75" customHeight="1">
      <c r="B65" s="5" t="s">
        <v>48</v>
      </c>
      <c r="C65" s="5">
        <v>1.0</v>
      </c>
      <c r="D65" s="5">
        <v>10.0</v>
      </c>
      <c r="E65" s="5">
        <v>1.0</v>
      </c>
      <c r="F65" s="11">
        <v>767.0</v>
      </c>
      <c r="G65" s="20">
        <v>100.0</v>
      </c>
      <c r="H65" s="5">
        <v>1.0</v>
      </c>
      <c r="I65" s="5">
        <v>5.0</v>
      </c>
      <c r="J65" s="11">
        <f t="shared" si="1"/>
        <v>7.67</v>
      </c>
      <c r="K65" s="5" t="s">
        <v>57</v>
      </c>
      <c r="L65" s="34">
        <v>42748.0</v>
      </c>
      <c r="M65" s="9">
        <v>0.5041666666666667</v>
      </c>
      <c r="N65" s="9">
        <v>0.5104166666666666</v>
      </c>
      <c r="O65" s="8" t="s">
        <v>25</v>
      </c>
      <c r="R65" s="9">
        <f t="shared" si="2"/>
        <v>0.00625</v>
      </c>
      <c r="AA65" s="27"/>
      <c r="AB65" s="7"/>
      <c r="AC65" s="7"/>
      <c r="AD65" s="8"/>
      <c r="AE65" s="8"/>
    </row>
    <row r="66" ht="15.75" customHeight="1">
      <c r="B66" s="5" t="s">
        <v>48</v>
      </c>
      <c r="C66" s="5">
        <v>1.0</v>
      </c>
      <c r="D66" s="5">
        <v>10.0</v>
      </c>
      <c r="E66" s="5">
        <v>1.0</v>
      </c>
      <c r="F66" s="11">
        <v>270.0</v>
      </c>
      <c r="G66" s="20">
        <v>150.0</v>
      </c>
      <c r="H66" s="5">
        <v>1.0</v>
      </c>
      <c r="I66" s="5">
        <v>5.0</v>
      </c>
      <c r="J66" s="11">
        <f t="shared" si="1"/>
        <v>2.7</v>
      </c>
      <c r="K66" s="5" t="s">
        <v>57</v>
      </c>
      <c r="L66" s="34">
        <v>42748.0</v>
      </c>
      <c r="M66" s="9"/>
      <c r="N66" s="9"/>
      <c r="O66" s="8" t="s">
        <v>25</v>
      </c>
      <c r="R66" s="9">
        <f t="shared" si="2"/>
        <v>0</v>
      </c>
      <c r="AA66" s="27"/>
      <c r="AB66" s="7"/>
      <c r="AC66" s="7"/>
      <c r="AD66" s="8"/>
      <c r="AE66" s="8"/>
    </row>
    <row r="67" ht="15.75" customHeight="1">
      <c r="D67" s="13">
        <v>2.0</v>
      </c>
      <c r="F67" s="11"/>
      <c r="G67" s="20"/>
      <c r="J67" s="11">
        <f t="shared" si="1"/>
        <v>0</v>
      </c>
      <c r="L67" s="34">
        <v>42748.0</v>
      </c>
      <c r="M67" s="9">
        <v>0.5208333333333334</v>
      </c>
      <c r="N67" s="9">
        <v>0.5277777777777778</v>
      </c>
      <c r="O67" s="8" t="s">
        <v>25</v>
      </c>
      <c r="R67" s="9">
        <f t="shared" si="2"/>
        <v>0.006944444444</v>
      </c>
      <c r="AA67" s="27"/>
      <c r="AB67" s="7"/>
      <c r="AC67" s="7"/>
      <c r="AD67" s="8"/>
      <c r="AE67" s="8"/>
    </row>
    <row r="68" ht="15.75" customHeight="1">
      <c r="D68" s="13">
        <v>5.0</v>
      </c>
      <c r="F68" s="11"/>
      <c r="G68" s="20"/>
      <c r="J68" s="11">
        <f t="shared" si="1"/>
        <v>0</v>
      </c>
      <c r="L68" s="34">
        <v>42748.0</v>
      </c>
      <c r="M68" s="9">
        <v>0.5298611111111111</v>
      </c>
      <c r="N68" s="9">
        <v>0.5361111111111111</v>
      </c>
      <c r="O68" s="8" t="s">
        <v>25</v>
      </c>
      <c r="R68" s="9">
        <f t="shared" si="2"/>
        <v>0.00625</v>
      </c>
      <c r="AA68" s="27"/>
      <c r="AB68" s="7"/>
      <c r="AC68" s="7"/>
      <c r="AD68" s="8"/>
      <c r="AE68" s="8"/>
    </row>
    <row r="69" ht="15.75" customHeight="1">
      <c r="B69" s="5" t="s">
        <v>48</v>
      </c>
      <c r="C69" s="5">
        <v>1.0</v>
      </c>
      <c r="D69" s="5">
        <v>8.0</v>
      </c>
      <c r="E69" s="5">
        <v>1.0</v>
      </c>
      <c r="F69" s="11">
        <v>210.0</v>
      </c>
      <c r="G69" s="20">
        <v>130.0</v>
      </c>
      <c r="H69" s="5">
        <v>5.0</v>
      </c>
      <c r="I69" s="5">
        <v>1.0</v>
      </c>
      <c r="J69" s="11">
        <f t="shared" si="1"/>
        <v>2.1</v>
      </c>
      <c r="L69" s="34">
        <v>42748.0</v>
      </c>
      <c r="M69" s="9">
        <v>0.5430555555555555</v>
      </c>
      <c r="N69" s="9">
        <v>0.5548611111111111</v>
      </c>
      <c r="O69" s="8" t="s">
        <v>25</v>
      </c>
      <c r="R69" s="9">
        <f t="shared" si="2"/>
        <v>0.01180555556</v>
      </c>
      <c r="AA69" s="27"/>
      <c r="AB69" s="7"/>
      <c r="AC69" s="7"/>
      <c r="AD69" s="8"/>
      <c r="AE69" s="8"/>
    </row>
    <row r="70" ht="15.75" customHeight="1">
      <c r="B70" s="5" t="s">
        <v>48</v>
      </c>
      <c r="C70" s="5">
        <v>1.0</v>
      </c>
      <c r="D70" s="5">
        <v>8.0</v>
      </c>
      <c r="E70" s="5">
        <v>1.0</v>
      </c>
      <c r="F70" s="11">
        <v>215.0</v>
      </c>
      <c r="G70" s="20">
        <v>130.0</v>
      </c>
      <c r="H70" s="5">
        <v>5.0</v>
      </c>
      <c r="I70" s="5">
        <v>1.0</v>
      </c>
      <c r="J70" s="11">
        <f t="shared" si="1"/>
        <v>2.15</v>
      </c>
      <c r="L70" s="34">
        <v>42748.0</v>
      </c>
      <c r="M70" s="9"/>
      <c r="N70" s="9"/>
      <c r="O70" s="8" t="s">
        <v>25</v>
      </c>
      <c r="R70" s="9">
        <f t="shared" si="2"/>
        <v>0</v>
      </c>
      <c r="AA70" s="27"/>
      <c r="AB70" s="9"/>
      <c r="AC70" s="9"/>
      <c r="AD70" s="8"/>
    </row>
    <row r="71" ht="15.75" customHeight="1">
      <c r="B71" s="5" t="s">
        <v>48</v>
      </c>
      <c r="C71" s="5">
        <v>1.0</v>
      </c>
      <c r="D71" s="5">
        <v>8.0</v>
      </c>
      <c r="E71" s="5">
        <v>1.0</v>
      </c>
      <c r="F71" s="11">
        <v>800.0</v>
      </c>
      <c r="G71" s="20">
        <v>280.0</v>
      </c>
      <c r="H71" s="5">
        <v>1.0</v>
      </c>
      <c r="I71" s="5">
        <v>1.0</v>
      </c>
      <c r="J71" s="11">
        <f t="shared" si="1"/>
        <v>8</v>
      </c>
      <c r="K71" s="5" t="s">
        <v>57</v>
      </c>
      <c r="L71" s="34">
        <v>42748.0</v>
      </c>
      <c r="M71" s="9"/>
      <c r="N71" s="9"/>
      <c r="O71" s="8" t="s">
        <v>25</v>
      </c>
      <c r="R71" s="9">
        <f t="shared" si="2"/>
        <v>0</v>
      </c>
      <c r="AA71" s="27"/>
      <c r="AB71" s="7"/>
      <c r="AC71" s="7"/>
      <c r="AD71" s="8"/>
    </row>
    <row r="72" ht="15.75" customHeight="1">
      <c r="D72" s="13">
        <v>6.0</v>
      </c>
      <c r="F72" s="11"/>
      <c r="G72" s="20"/>
      <c r="J72" s="11">
        <f t="shared" si="1"/>
        <v>0</v>
      </c>
      <c r="L72" s="27">
        <v>42748.0</v>
      </c>
      <c r="M72" s="7">
        <v>0.5625</v>
      </c>
      <c r="N72" s="7">
        <v>0.5673611111111111</v>
      </c>
      <c r="O72" s="8" t="s">
        <v>25</v>
      </c>
      <c r="P72" s="8"/>
      <c r="Q72" s="8"/>
      <c r="R72" s="9">
        <f t="shared" si="2"/>
        <v>0.004861111111</v>
      </c>
      <c r="AA72" s="27"/>
      <c r="AB72" s="7"/>
      <c r="AC72" s="7"/>
      <c r="AD72" s="8"/>
      <c r="AE72" s="8"/>
    </row>
    <row r="73" ht="15.75" customHeight="1">
      <c r="B73" s="5" t="s">
        <v>48</v>
      </c>
      <c r="C73" s="5">
        <v>1.0</v>
      </c>
      <c r="D73" s="5">
        <v>11.0</v>
      </c>
      <c r="E73" s="5">
        <v>1.0</v>
      </c>
      <c r="F73" s="11">
        <v>800.0</v>
      </c>
      <c r="G73" s="20">
        <v>220.0</v>
      </c>
      <c r="H73" s="5">
        <v>2.0</v>
      </c>
      <c r="I73" s="5">
        <v>1.0</v>
      </c>
      <c r="J73" s="11">
        <f t="shared" si="1"/>
        <v>8</v>
      </c>
      <c r="L73" s="27">
        <v>42748.0</v>
      </c>
      <c r="M73" s="7">
        <v>0.5722222222222222</v>
      </c>
      <c r="N73" s="7">
        <v>0.576388888888889</v>
      </c>
      <c r="O73" s="8" t="s">
        <v>25</v>
      </c>
      <c r="P73" s="8" t="s">
        <v>63</v>
      </c>
      <c r="Q73" s="8"/>
      <c r="R73" s="9">
        <f t="shared" si="2"/>
        <v>0.004166666667</v>
      </c>
      <c r="AA73" s="27"/>
      <c r="AB73" s="7"/>
      <c r="AC73" s="7"/>
      <c r="AD73" s="8"/>
      <c r="AE73" s="8"/>
    </row>
    <row r="74" ht="15.75" customHeight="1">
      <c r="D74" s="5">
        <v>12.0</v>
      </c>
      <c r="F74" s="11"/>
      <c r="G74" s="20"/>
      <c r="J74" s="11">
        <f t="shared" si="1"/>
        <v>0</v>
      </c>
      <c r="L74" s="27">
        <v>42748.0</v>
      </c>
      <c r="M74" s="9">
        <v>0.5833333333333334</v>
      </c>
      <c r="N74" s="9">
        <v>0.5861111111111111</v>
      </c>
      <c r="O74" s="8" t="s">
        <v>25</v>
      </c>
      <c r="R74" s="9">
        <f t="shared" si="2"/>
        <v>0.002777777778</v>
      </c>
      <c r="AA74" s="27"/>
      <c r="AB74" s="9"/>
      <c r="AC74" s="9"/>
      <c r="AD74" s="8"/>
    </row>
    <row r="75" ht="15.75" customHeight="1">
      <c r="B75" s="22"/>
      <c r="C75" s="22"/>
      <c r="D75" s="35">
        <v>1.0</v>
      </c>
      <c r="E75" s="22"/>
      <c r="F75" s="22"/>
      <c r="G75" s="48"/>
      <c r="H75" s="22"/>
      <c r="I75" s="22"/>
      <c r="J75" s="11">
        <f t="shared" si="1"/>
        <v>0</v>
      </c>
      <c r="K75" s="22"/>
      <c r="L75" s="29">
        <v>42748.0</v>
      </c>
      <c r="M75" s="33">
        <v>0.5868055555555556</v>
      </c>
      <c r="N75" s="33">
        <v>0.5902777777777778</v>
      </c>
      <c r="O75" s="25" t="s">
        <v>25</v>
      </c>
      <c r="P75" s="22"/>
      <c r="R75" s="9">
        <f t="shared" si="2"/>
        <v>0.003472222222</v>
      </c>
      <c r="AA75" s="27"/>
      <c r="AB75" s="9"/>
      <c r="AC75" s="9"/>
      <c r="AD75" s="8"/>
    </row>
    <row r="76" ht="15.75" customHeight="1">
      <c r="D76" s="5">
        <v>7.0</v>
      </c>
      <c r="F76" s="11"/>
      <c r="G76" s="20"/>
      <c r="J76" s="11">
        <f t="shared" si="1"/>
        <v>0</v>
      </c>
      <c r="L76" s="34">
        <v>43155.0</v>
      </c>
      <c r="M76" s="9">
        <v>0.4756944444444444</v>
      </c>
      <c r="N76" s="9">
        <v>0.48194444444444445</v>
      </c>
      <c r="O76" s="8" t="s">
        <v>25</v>
      </c>
      <c r="R76" s="9">
        <f t="shared" si="2"/>
        <v>0.00625</v>
      </c>
      <c r="AA76" s="27"/>
      <c r="AB76" s="9"/>
      <c r="AC76" s="9"/>
      <c r="AD76" s="8"/>
    </row>
    <row r="77" ht="15.75" customHeight="1">
      <c r="B77" s="5" t="s">
        <v>48</v>
      </c>
      <c r="C77" s="5">
        <v>1.0</v>
      </c>
      <c r="D77" s="13">
        <v>4.0</v>
      </c>
      <c r="E77" s="5">
        <v>1.0</v>
      </c>
      <c r="F77" s="11">
        <v>802.0</v>
      </c>
      <c r="G77" s="20">
        <v>62.0</v>
      </c>
      <c r="H77" s="5">
        <v>1.0</v>
      </c>
      <c r="I77" s="5">
        <v>1.0</v>
      </c>
      <c r="J77" s="11">
        <f t="shared" si="1"/>
        <v>8.02</v>
      </c>
      <c r="L77" s="34">
        <v>43155.0</v>
      </c>
      <c r="M77" s="9">
        <v>0.4895833333333333</v>
      </c>
      <c r="N77" s="9">
        <v>0.49444444444444446</v>
      </c>
      <c r="O77" s="8" t="s">
        <v>25</v>
      </c>
      <c r="R77" s="9">
        <f t="shared" si="2"/>
        <v>0.004861111111</v>
      </c>
      <c r="AA77" s="27"/>
      <c r="AB77" s="9"/>
      <c r="AC77" s="9"/>
      <c r="AD77" s="8"/>
    </row>
    <row r="78" ht="15.75" customHeight="1">
      <c r="D78" s="13">
        <v>3.0</v>
      </c>
      <c r="F78" s="11"/>
      <c r="G78" s="20"/>
      <c r="J78" s="11">
        <f t="shared" si="1"/>
        <v>0</v>
      </c>
      <c r="L78" s="34">
        <v>43155.0</v>
      </c>
      <c r="M78" s="9">
        <v>0.49652777777777773</v>
      </c>
      <c r="N78" s="9">
        <v>0.5034722222222222</v>
      </c>
      <c r="O78" s="8" t="s">
        <v>25</v>
      </c>
      <c r="R78" s="9">
        <f t="shared" si="2"/>
        <v>0.006944444444</v>
      </c>
      <c r="AA78" s="27"/>
      <c r="AB78" s="9"/>
      <c r="AC78" s="9"/>
      <c r="AD78" s="8"/>
    </row>
    <row r="79" ht="15.75" customHeight="1">
      <c r="D79" s="5">
        <v>9.0</v>
      </c>
      <c r="F79" s="11"/>
      <c r="G79" s="20"/>
      <c r="J79" s="11">
        <f t="shared" si="1"/>
        <v>0</v>
      </c>
      <c r="L79" s="34">
        <v>43155.0</v>
      </c>
      <c r="M79" s="9">
        <v>0.513888888888889</v>
      </c>
      <c r="N79" s="9">
        <v>0.5187499999999999</v>
      </c>
      <c r="O79" s="8" t="s">
        <v>25</v>
      </c>
      <c r="R79" s="9">
        <f t="shared" si="2"/>
        <v>0.004861111111</v>
      </c>
      <c r="AA79" s="34"/>
      <c r="AB79" s="9"/>
      <c r="AC79" s="9"/>
      <c r="AD79" s="8"/>
    </row>
    <row r="80" ht="15.75" customHeight="1">
      <c r="D80" s="5">
        <v>10.0</v>
      </c>
      <c r="F80" s="11"/>
      <c r="G80" s="20"/>
      <c r="J80" s="11">
        <f t="shared" si="1"/>
        <v>0</v>
      </c>
      <c r="L80" s="34">
        <v>43155.0</v>
      </c>
      <c r="M80" s="9">
        <v>0.5215277777777778</v>
      </c>
      <c r="N80" s="9">
        <v>12.38</v>
      </c>
      <c r="O80" s="8" t="s">
        <v>25</v>
      </c>
      <c r="R80" s="9">
        <f t="shared" si="2"/>
        <v>11.85847222</v>
      </c>
      <c r="AA80" s="34"/>
      <c r="AB80" s="9"/>
      <c r="AC80" s="9"/>
      <c r="AD80" s="8"/>
    </row>
    <row r="81" ht="15.75" customHeight="1">
      <c r="D81" s="13">
        <v>2.0</v>
      </c>
      <c r="F81" s="11"/>
      <c r="G81" s="20"/>
      <c r="J81" s="11">
        <f t="shared" si="1"/>
        <v>0</v>
      </c>
      <c r="L81" s="34">
        <v>43155.0</v>
      </c>
      <c r="M81" s="9">
        <v>0.5333333333333333</v>
      </c>
      <c r="N81" s="9">
        <v>12.56</v>
      </c>
      <c r="O81" s="8" t="s">
        <v>25</v>
      </c>
      <c r="R81" s="9">
        <f t="shared" si="2"/>
        <v>12.02666667</v>
      </c>
      <c r="AA81" s="34"/>
      <c r="AB81" s="9"/>
      <c r="AC81" s="9"/>
      <c r="AD81" s="8"/>
    </row>
    <row r="82" ht="15.75" customHeight="1">
      <c r="D82" s="13">
        <v>5.0</v>
      </c>
      <c r="F82" s="11"/>
      <c r="G82" s="20"/>
      <c r="J82" s="11">
        <f t="shared" si="1"/>
        <v>0</v>
      </c>
      <c r="L82" s="34">
        <v>43155.0</v>
      </c>
      <c r="M82" s="9">
        <v>0.5402777777777777</v>
      </c>
      <c r="N82" s="9">
        <v>0.545138888888889</v>
      </c>
      <c r="O82" s="8" t="s">
        <v>25</v>
      </c>
      <c r="R82" s="9">
        <f t="shared" si="2"/>
        <v>0.004861111111</v>
      </c>
      <c r="AA82" s="34"/>
      <c r="AB82" s="9"/>
      <c r="AC82" s="9"/>
      <c r="AD82" s="8"/>
    </row>
    <row r="83" ht="15.75" customHeight="1">
      <c r="B83" s="5" t="s">
        <v>48</v>
      </c>
      <c r="C83" s="5">
        <v>1.0</v>
      </c>
      <c r="D83" s="5">
        <v>8.0</v>
      </c>
      <c r="E83" s="5">
        <v>1.0</v>
      </c>
      <c r="F83" s="11">
        <v>197.0</v>
      </c>
      <c r="G83" s="20">
        <v>93.0</v>
      </c>
      <c r="H83" s="5">
        <v>5.0</v>
      </c>
      <c r="I83" s="5">
        <v>1.0</v>
      </c>
      <c r="J83" s="11">
        <f t="shared" si="1"/>
        <v>1.97</v>
      </c>
      <c r="L83" s="34">
        <v>43155.0</v>
      </c>
      <c r="M83" s="9">
        <v>0.5499999999999999</v>
      </c>
      <c r="N83" s="9">
        <v>0.5569444444444445</v>
      </c>
      <c r="O83" s="8" t="s">
        <v>25</v>
      </c>
      <c r="R83" s="9">
        <f t="shared" si="2"/>
        <v>0.006944444444</v>
      </c>
      <c r="AA83" s="34"/>
      <c r="AB83" s="9"/>
      <c r="AC83" s="9"/>
      <c r="AD83" s="8"/>
    </row>
    <row r="84" ht="15.75" customHeight="1">
      <c r="B84" s="5" t="s">
        <v>48</v>
      </c>
      <c r="C84" s="5">
        <v>1.0</v>
      </c>
      <c r="D84" s="5">
        <v>8.0</v>
      </c>
      <c r="E84" s="5">
        <v>1.0</v>
      </c>
      <c r="F84" s="11">
        <v>110.0</v>
      </c>
      <c r="G84" s="20">
        <v>99.0</v>
      </c>
      <c r="H84" s="5">
        <v>5.0</v>
      </c>
      <c r="I84" s="5">
        <v>1.0</v>
      </c>
      <c r="J84" s="11">
        <f t="shared" si="1"/>
        <v>1.1</v>
      </c>
      <c r="L84" s="34">
        <v>43155.0</v>
      </c>
      <c r="M84" s="9"/>
      <c r="N84" s="9"/>
      <c r="O84" s="8" t="s">
        <v>25</v>
      </c>
      <c r="R84" s="9">
        <f t="shared" si="2"/>
        <v>0</v>
      </c>
      <c r="AA84" s="34"/>
      <c r="AB84" s="9"/>
      <c r="AC84" s="9"/>
      <c r="AD84" s="8"/>
    </row>
    <row r="85" ht="15.75" customHeight="1">
      <c r="D85" s="13">
        <v>6.0</v>
      </c>
      <c r="F85" s="11"/>
      <c r="G85" s="20"/>
      <c r="J85" s="11">
        <f t="shared" si="1"/>
        <v>0</v>
      </c>
      <c r="L85" s="27">
        <v>43155.0</v>
      </c>
      <c r="M85" s="7">
        <v>0.5652777777777778</v>
      </c>
      <c r="N85" s="7">
        <v>0.5694444444444444</v>
      </c>
      <c r="O85" s="8" t="s">
        <v>25</v>
      </c>
      <c r="R85" s="9">
        <f t="shared" si="2"/>
        <v>0.004166666667</v>
      </c>
      <c r="AA85" s="34"/>
      <c r="AB85" s="9"/>
      <c r="AC85" s="9"/>
      <c r="AD85" s="8"/>
    </row>
    <row r="86" ht="15.75" customHeight="1">
      <c r="B86" s="5" t="s">
        <v>48</v>
      </c>
      <c r="C86" s="5">
        <v>1.0</v>
      </c>
      <c r="D86" s="5">
        <v>11.0</v>
      </c>
      <c r="E86" s="5">
        <v>1.0</v>
      </c>
      <c r="F86" s="11">
        <v>320.0</v>
      </c>
      <c r="G86" s="20">
        <v>60.0</v>
      </c>
      <c r="H86" s="5">
        <v>2.0</v>
      </c>
      <c r="I86" s="5">
        <v>1.0</v>
      </c>
      <c r="J86" s="11">
        <f t="shared" si="1"/>
        <v>3.2</v>
      </c>
      <c r="L86" s="27">
        <v>43155.0</v>
      </c>
      <c r="M86" s="7">
        <v>0.5743055555555555</v>
      </c>
      <c r="N86" s="7">
        <v>0.579861111111111</v>
      </c>
      <c r="O86" s="8" t="s">
        <v>25</v>
      </c>
      <c r="R86" s="9">
        <f t="shared" si="2"/>
        <v>0.005555555556</v>
      </c>
      <c r="AA86" s="27"/>
      <c r="AB86" s="7"/>
      <c r="AC86" s="7"/>
      <c r="AD86" s="8"/>
    </row>
    <row r="87" ht="15.75" customHeight="1">
      <c r="D87" s="5">
        <v>12.0</v>
      </c>
      <c r="F87" s="11"/>
      <c r="G87" s="20"/>
      <c r="J87" s="11">
        <f t="shared" si="1"/>
        <v>0</v>
      </c>
      <c r="L87" s="27">
        <v>43155.0</v>
      </c>
      <c r="M87" s="9">
        <v>0.5840277777777778</v>
      </c>
      <c r="N87" s="9">
        <v>0.5895833333333333</v>
      </c>
      <c r="O87" s="8" t="s">
        <v>93</v>
      </c>
      <c r="R87" s="9">
        <f t="shared" si="2"/>
        <v>0.005555555556</v>
      </c>
      <c r="AA87" s="27"/>
      <c r="AB87" s="7"/>
      <c r="AC87" s="7"/>
      <c r="AD87" s="8"/>
    </row>
    <row r="88" ht="15.75" customHeight="1">
      <c r="B88" s="22"/>
      <c r="C88" s="22"/>
      <c r="D88" s="35">
        <v>1.0</v>
      </c>
      <c r="E88" s="22"/>
      <c r="F88" s="22"/>
      <c r="G88" s="48"/>
      <c r="H88" s="22"/>
      <c r="I88" s="22"/>
      <c r="J88" s="11">
        <f t="shared" si="1"/>
        <v>0</v>
      </c>
      <c r="K88" s="22"/>
      <c r="L88" s="29">
        <v>43155.0</v>
      </c>
      <c r="M88" s="33">
        <v>0.5902777777777778</v>
      </c>
      <c r="N88" s="33">
        <v>0.59375</v>
      </c>
      <c r="O88" s="25" t="s">
        <v>25</v>
      </c>
      <c r="P88" s="22"/>
      <c r="R88" s="9">
        <f t="shared" si="2"/>
        <v>0.003472222222</v>
      </c>
      <c r="AA88" s="27"/>
      <c r="AB88" s="7"/>
      <c r="AC88" s="7"/>
      <c r="AD88" s="8"/>
    </row>
    <row r="89" ht="15.75" customHeight="1">
      <c r="D89" s="5">
        <v>7.0</v>
      </c>
      <c r="F89" s="11"/>
      <c r="G89" s="20"/>
      <c r="J89" s="11">
        <f t="shared" si="1"/>
        <v>0</v>
      </c>
      <c r="L89" s="34">
        <v>43169.0</v>
      </c>
      <c r="M89" s="9">
        <v>0.44166666666666665</v>
      </c>
      <c r="N89" s="9">
        <v>0.4486111111111111</v>
      </c>
      <c r="O89" s="8" t="s">
        <v>25</v>
      </c>
      <c r="R89" s="9">
        <f t="shared" si="2"/>
        <v>0.006944444444</v>
      </c>
      <c r="AA89" s="27"/>
      <c r="AB89" s="7"/>
      <c r="AC89" s="7"/>
      <c r="AD89" s="8"/>
    </row>
    <row r="90" ht="15.75" customHeight="1">
      <c r="B90" s="5" t="s">
        <v>48</v>
      </c>
      <c r="C90" s="5">
        <v>1.0</v>
      </c>
      <c r="D90" s="13">
        <v>4.0</v>
      </c>
      <c r="E90" s="5">
        <v>1.0</v>
      </c>
      <c r="F90" s="11">
        <v>137.0</v>
      </c>
      <c r="G90" s="20">
        <v>290.0</v>
      </c>
      <c r="H90" s="5">
        <v>1.0</v>
      </c>
      <c r="I90" s="5">
        <v>1.0</v>
      </c>
      <c r="J90" s="11">
        <f t="shared" si="1"/>
        <v>1.37</v>
      </c>
      <c r="L90" s="34">
        <v>43169.0</v>
      </c>
      <c r="M90" s="9">
        <v>0.4597222222222222</v>
      </c>
      <c r="N90" s="9">
        <v>0.4666666666666666</v>
      </c>
      <c r="O90" s="8" t="s">
        <v>25</v>
      </c>
      <c r="R90" s="9">
        <f t="shared" si="2"/>
        <v>0.006944444444</v>
      </c>
      <c r="AA90" s="27"/>
      <c r="AB90" s="7"/>
      <c r="AC90" s="7"/>
      <c r="AD90" s="8"/>
    </row>
    <row r="91" ht="15.75" customHeight="1">
      <c r="B91" s="5" t="s">
        <v>48</v>
      </c>
      <c r="C91" s="5">
        <v>1.0</v>
      </c>
      <c r="D91" s="13">
        <v>4.0</v>
      </c>
      <c r="E91" s="5">
        <v>1.0</v>
      </c>
      <c r="F91" s="11">
        <v>137.0</v>
      </c>
      <c r="G91" s="20">
        <v>307.0</v>
      </c>
      <c r="H91" s="5">
        <v>1.0</v>
      </c>
      <c r="I91" s="5">
        <v>1.0</v>
      </c>
      <c r="J91" s="11">
        <f t="shared" si="1"/>
        <v>1.37</v>
      </c>
      <c r="L91" s="34">
        <v>43169.0</v>
      </c>
      <c r="M91" s="9"/>
      <c r="N91" s="9"/>
      <c r="O91" s="8" t="s">
        <v>25</v>
      </c>
      <c r="R91" s="9">
        <f t="shared" si="2"/>
        <v>0</v>
      </c>
      <c r="AA91" s="27"/>
      <c r="AB91" s="7"/>
      <c r="AC91" s="7"/>
      <c r="AD91" s="8"/>
      <c r="AE91" s="8"/>
    </row>
    <row r="92" ht="15.75" customHeight="1">
      <c r="B92" s="5" t="s">
        <v>48</v>
      </c>
      <c r="C92" s="5">
        <v>1.0</v>
      </c>
      <c r="D92" s="13">
        <v>3.0</v>
      </c>
      <c r="E92" s="5">
        <v>1.0</v>
      </c>
      <c r="F92" s="11">
        <v>333.0</v>
      </c>
      <c r="G92" s="20">
        <v>286.0</v>
      </c>
      <c r="H92" s="5">
        <v>1.0</v>
      </c>
      <c r="I92" s="5">
        <v>1.0</v>
      </c>
      <c r="J92" s="11">
        <f t="shared" si="1"/>
        <v>3.33</v>
      </c>
      <c r="L92" s="34">
        <v>43169.0</v>
      </c>
      <c r="M92" s="9">
        <v>0.4701388888888889</v>
      </c>
      <c r="N92" s="9">
        <v>0.4791666666666667</v>
      </c>
      <c r="O92" s="8" t="s">
        <v>25</v>
      </c>
      <c r="R92" s="9">
        <f t="shared" si="2"/>
        <v>0.009027777778</v>
      </c>
      <c r="AA92" s="27"/>
      <c r="AB92" s="7"/>
      <c r="AC92" s="7"/>
      <c r="AD92" s="8"/>
      <c r="AE92" s="27"/>
    </row>
    <row r="93" ht="15.75" customHeight="1">
      <c r="B93" s="5" t="s">
        <v>48</v>
      </c>
      <c r="C93" s="5">
        <v>1.0</v>
      </c>
      <c r="D93" s="13">
        <v>3.0</v>
      </c>
      <c r="E93" s="5">
        <v>1.0</v>
      </c>
      <c r="F93" s="11">
        <v>333.0</v>
      </c>
      <c r="G93" s="20">
        <v>127.0</v>
      </c>
      <c r="H93" s="5">
        <v>1.0</v>
      </c>
      <c r="I93" s="5">
        <v>1.0</v>
      </c>
      <c r="J93" s="11">
        <f t="shared" si="1"/>
        <v>3.33</v>
      </c>
      <c r="L93" s="34">
        <v>43169.0</v>
      </c>
      <c r="M93" s="9"/>
      <c r="N93" s="9"/>
      <c r="O93" s="8" t="s">
        <v>25</v>
      </c>
      <c r="R93" s="9">
        <f t="shared" si="2"/>
        <v>0</v>
      </c>
      <c r="AA93" s="27"/>
      <c r="AB93" s="7"/>
      <c r="AC93" s="7"/>
      <c r="AD93" s="8"/>
      <c r="AE93" s="27"/>
    </row>
    <row r="94" ht="15.75" customHeight="1">
      <c r="B94" s="5" t="s">
        <v>48</v>
      </c>
      <c r="C94" s="5">
        <v>1.0</v>
      </c>
      <c r="D94" s="13">
        <v>3.0</v>
      </c>
      <c r="E94" s="5">
        <v>1.0</v>
      </c>
      <c r="F94" s="11">
        <v>333.0</v>
      </c>
      <c r="G94" s="20">
        <v>225.0</v>
      </c>
      <c r="H94" s="5">
        <v>1.0</v>
      </c>
      <c r="I94" s="5">
        <v>1.0</v>
      </c>
      <c r="J94" s="11">
        <f t="shared" si="1"/>
        <v>3.33</v>
      </c>
      <c r="L94" s="34">
        <v>43169.0</v>
      </c>
      <c r="M94" s="9"/>
      <c r="N94" s="9"/>
      <c r="O94" s="8" t="s">
        <v>25</v>
      </c>
      <c r="R94" s="9">
        <f t="shared" si="2"/>
        <v>0</v>
      </c>
      <c r="AA94" s="27"/>
      <c r="AB94" s="7"/>
      <c r="AC94" s="7"/>
      <c r="AD94" s="8"/>
      <c r="AE94" s="27"/>
    </row>
    <row r="95" ht="15.75" customHeight="1">
      <c r="D95" s="5">
        <v>9.0</v>
      </c>
      <c r="F95" s="11"/>
      <c r="G95" s="20"/>
      <c r="J95" s="11">
        <f t="shared" si="1"/>
        <v>0</v>
      </c>
      <c r="L95" s="34">
        <v>43169.0</v>
      </c>
      <c r="M95" s="9">
        <v>0.4993055555555555</v>
      </c>
      <c r="N95" s="9">
        <v>0.5027777777777778</v>
      </c>
      <c r="O95" s="8" t="s">
        <v>25</v>
      </c>
      <c r="P95" s="5" t="s">
        <v>26</v>
      </c>
      <c r="R95" s="9">
        <f t="shared" si="2"/>
        <v>0.003472222222</v>
      </c>
      <c r="AA95" s="27"/>
      <c r="AB95" s="7"/>
      <c r="AC95" s="7"/>
      <c r="AD95" s="8"/>
      <c r="AE95" s="27"/>
    </row>
    <row r="96" ht="15.75" customHeight="1">
      <c r="B96" s="5" t="s">
        <v>48</v>
      </c>
      <c r="C96" s="5">
        <v>1.0</v>
      </c>
      <c r="D96" s="5">
        <v>10.0</v>
      </c>
      <c r="E96" s="5">
        <v>1.0</v>
      </c>
      <c r="F96" s="11">
        <v>263.0</v>
      </c>
      <c r="G96" s="20">
        <v>276.0</v>
      </c>
      <c r="H96" s="5">
        <v>1.0</v>
      </c>
      <c r="I96" s="5">
        <v>5.0</v>
      </c>
      <c r="J96" s="11">
        <f t="shared" si="1"/>
        <v>2.63</v>
      </c>
      <c r="L96" s="34">
        <v>43169.0</v>
      </c>
      <c r="M96" s="9">
        <v>0.50625</v>
      </c>
      <c r="N96" s="9">
        <v>0.5125000000000001</v>
      </c>
      <c r="O96" s="8" t="s">
        <v>25</v>
      </c>
      <c r="R96" s="9">
        <f t="shared" si="2"/>
        <v>0.00625</v>
      </c>
      <c r="AA96" s="27"/>
      <c r="AB96" s="7"/>
      <c r="AC96" s="7"/>
      <c r="AD96" s="8"/>
      <c r="AE96" s="27"/>
    </row>
    <row r="97" ht="15.75" customHeight="1">
      <c r="B97" s="5" t="s">
        <v>48</v>
      </c>
      <c r="C97" s="5">
        <v>1.0</v>
      </c>
      <c r="D97" s="5">
        <v>10.0</v>
      </c>
      <c r="E97" s="5">
        <v>1.0</v>
      </c>
      <c r="F97" s="11">
        <v>263.0</v>
      </c>
      <c r="G97" s="20">
        <v>276.0</v>
      </c>
      <c r="H97" s="5">
        <v>1.0</v>
      </c>
      <c r="I97" s="5">
        <v>1.0</v>
      </c>
      <c r="J97" s="11">
        <f t="shared" si="1"/>
        <v>2.63</v>
      </c>
      <c r="L97" s="34">
        <v>43169.0</v>
      </c>
      <c r="M97" s="9"/>
      <c r="N97" s="9"/>
      <c r="O97" s="8" t="s">
        <v>25</v>
      </c>
      <c r="R97" s="9">
        <f t="shared" si="2"/>
        <v>0</v>
      </c>
      <c r="AA97" s="27"/>
      <c r="AB97" s="7"/>
      <c r="AC97" s="7"/>
      <c r="AD97" s="8"/>
    </row>
    <row r="98" ht="15.75" customHeight="1">
      <c r="D98" s="13">
        <v>2.0</v>
      </c>
      <c r="F98" s="11"/>
      <c r="G98" s="20"/>
      <c r="J98" s="11">
        <f t="shared" si="1"/>
        <v>0</v>
      </c>
      <c r="L98" s="34">
        <v>43169.0</v>
      </c>
      <c r="M98" s="9">
        <v>0.5256944444444445</v>
      </c>
      <c r="N98" s="9">
        <v>0.5319444444444444</v>
      </c>
      <c r="O98" s="8" t="s">
        <v>25</v>
      </c>
      <c r="R98" s="9">
        <f t="shared" si="2"/>
        <v>0.00625</v>
      </c>
      <c r="AA98" s="27"/>
      <c r="AB98" s="7"/>
      <c r="AC98" s="7"/>
      <c r="AD98" s="8"/>
    </row>
    <row r="99" ht="15.75" customHeight="1">
      <c r="D99" s="13">
        <v>5.0</v>
      </c>
      <c r="F99" s="11"/>
      <c r="G99" s="20"/>
      <c r="J99" s="11">
        <f t="shared" si="1"/>
        <v>0</v>
      </c>
      <c r="L99" s="34">
        <v>43169.0</v>
      </c>
      <c r="M99" s="9">
        <v>0.5340277777777778</v>
      </c>
      <c r="N99" s="9">
        <v>0.5368055555555555</v>
      </c>
      <c r="O99" s="8" t="s">
        <v>25</v>
      </c>
      <c r="R99" s="9">
        <f t="shared" si="2"/>
        <v>0.002777777778</v>
      </c>
      <c r="AA99" s="27"/>
      <c r="AB99" s="7"/>
      <c r="AC99" s="7"/>
      <c r="AD99" s="8"/>
    </row>
    <row r="100" ht="15.75" customHeight="1">
      <c r="D100" s="5">
        <v>8.0</v>
      </c>
      <c r="F100" s="11"/>
      <c r="G100" s="20"/>
      <c r="J100" s="11">
        <f t="shared" si="1"/>
        <v>0</v>
      </c>
      <c r="L100" s="34">
        <v>43169.0</v>
      </c>
      <c r="M100" s="9">
        <v>0.5444444444444444</v>
      </c>
      <c r="N100" s="9">
        <v>0.5527777777777778</v>
      </c>
      <c r="O100" s="8" t="s">
        <v>25</v>
      </c>
      <c r="R100" s="9">
        <f t="shared" si="2"/>
        <v>0.008333333333</v>
      </c>
      <c r="AA100" s="27"/>
      <c r="AB100" s="7"/>
      <c r="AC100" s="7"/>
      <c r="AD100" s="8"/>
    </row>
    <row r="101" ht="15.75" customHeight="1">
      <c r="D101" s="13">
        <v>6.0</v>
      </c>
      <c r="F101" s="11"/>
      <c r="G101" s="20"/>
      <c r="J101" s="11">
        <f t="shared" si="1"/>
        <v>0</v>
      </c>
      <c r="L101" s="27">
        <v>43169.0</v>
      </c>
      <c r="M101" s="7">
        <v>0.5652777777777778</v>
      </c>
      <c r="N101" s="7">
        <v>0.5694444444444444</v>
      </c>
      <c r="O101" s="8" t="s">
        <v>25</v>
      </c>
      <c r="R101" s="9">
        <f t="shared" si="2"/>
        <v>0.004166666667</v>
      </c>
      <c r="AA101" s="27"/>
      <c r="AB101" s="7"/>
      <c r="AC101" s="7"/>
      <c r="AD101" s="8"/>
    </row>
    <row r="102" ht="15.75" customHeight="1">
      <c r="D102" s="5">
        <v>11.0</v>
      </c>
      <c r="F102" s="11"/>
      <c r="G102" s="20"/>
      <c r="J102" s="11">
        <f t="shared" si="1"/>
        <v>0</v>
      </c>
      <c r="L102" s="27">
        <v>43169.0</v>
      </c>
      <c r="M102" s="7">
        <v>0.5750000000000001</v>
      </c>
      <c r="N102" s="7">
        <v>0.579861111111111</v>
      </c>
      <c r="O102" s="8" t="s">
        <v>25</v>
      </c>
      <c r="R102" s="9">
        <f t="shared" si="2"/>
        <v>0.004861111111</v>
      </c>
      <c r="AA102" s="27"/>
      <c r="AB102" s="7"/>
      <c r="AC102" s="7"/>
      <c r="AD102" s="8"/>
    </row>
    <row r="103" ht="15.75" customHeight="1">
      <c r="D103" s="5">
        <v>12.0</v>
      </c>
      <c r="F103" s="11"/>
      <c r="G103" s="20"/>
      <c r="J103" s="11">
        <f t="shared" si="1"/>
        <v>0</v>
      </c>
      <c r="L103" s="27">
        <v>43169.0</v>
      </c>
      <c r="M103" s="7">
        <v>0.5888888888888889</v>
      </c>
      <c r="N103" s="7">
        <v>0.5916666666666667</v>
      </c>
      <c r="O103" s="8" t="s">
        <v>25</v>
      </c>
      <c r="R103" s="9">
        <f t="shared" si="2"/>
        <v>0.002777777778</v>
      </c>
      <c r="AA103" s="27"/>
      <c r="AB103" s="7"/>
      <c r="AC103" s="7"/>
      <c r="AD103" s="8"/>
    </row>
    <row r="104" ht="15.75" customHeight="1">
      <c r="B104" s="22"/>
      <c r="C104" s="22"/>
      <c r="D104" s="35">
        <v>1.0</v>
      </c>
      <c r="E104" s="22"/>
      <c r="F104" s="22"/>
      <c r="G104" s="48"/>
      <c r="H104" s="22"/>
      <c r="I104" s="22"/>
      <c r="J104" s="11">
        <f t="shared" si="1"/>
        <v>0</v>
      </c>
      <c r="K104" s="22"/>
      <c r="L104" s="29">
        <v>43169.0</v>
      </c>
      <c r="M104" s="33">
        <v>0.5930555555555556</v>
      </c>
      <c r="N104" s="24">
        <v>0.5979166666666667</v>
      </c>
      <c r="O104" s="25" t="s">
        <v>25</v>
      </c>
      <c r="P104" s="22"/>
      <c r="R104" s="9">
        <f t="shared" si="2"/>
        <v>0.004861111111</v>
      </c>
      <c r="AA104" s="27"/>
      <c r="AB104" s="7"/>
      <c r="AC104" s="7"/>
      <c r="AD104" s="8"/>
    </row>
    <row r="105" ht="15.75" customHeight="1">
      <c r="B105" s="5" t="s">
        <v>48</v>
      </c>
      <c r="C105" s="5">
        <v>1.0</v>
      </c>
      <c r="D105" s="5">
        <v>7.0</v>
      </c>
      <c r="E105" s="5">
        <v>1.0</v>
      </c>
      <c r="F105" s="11">
        <v>1024.0</v>
      </c>
      <c r="G105" s="20">
        <v>72.0</v>
      </c>
      <c r="H105" s="5">
        <v>2.0</v>
      </c>
      <c r="I105" s="5">
        <v>1.0</v>
      </c>
      <c r="J105" s="11">
        <f t="shared" si="1"/>
        <v>10.24</v>
      </c>
      <c r="L105" s="34">
        <v>43204.0</v>
      </c>
      <c r="M105" s="9">
        <v>0.4763888888888889</v>
      </c>
      <c r="N105" s="9">
        <v>0.4847222222222222</v>
      </c>
      <c r="O105" s="8" t="s">
        <v>25</v>
      </c>
      <c r="R105" s="9">
        <f t="shared" si="2"/>
        <v>0.008333333333</v>
      </c>
      <c r="AA105" s="27"/>
      <c r="AB105" s="7"/>
      <c r="AC105" s="7"/>
      <c r="AD105" s="8"/>
    </row>
    <row r="106" ht="15.75" customHeight="1">
      <c r="D106" s="13">
        <v>4.0</v>
      </c>
      <c r="F106" s="11"/>
      <c r="G106" s="20"/>
      <c r="J106" s="11">
        <f t="shared" si="1"/>
        <v>0</v>
      </c>
      <c r="L106" s="27">
        <v>43204.0</v>
      </c>
      <c r="M106" s="7">
        <v>0.49513888888888885</v>
      </c>
      <c r="N106" s="7">
        <v>0.5020833333333333</v>
      </c>
      <c r="O106" s="8" t="s">
        <v>25</v>
      </c>
      <c r="R106" s="9">
        <f t="shared" si="2"/>
        <v>0.006944444444</v>
      </c>
      <c r="AA106" s="27"/>
      <c r="AB106" s="7"/>
      <c r="AC106" s="7"/>
      <c r="AD106" s="8"/>
    </row>
    <row r="107" ht="15.75" customHeight="1">
      <c r="B107" s="5" t="s">
        <v>48</v>
      </c>
      <c r="C107" s="5">
        <v>1.0</v>
      </c>
      <c r="D107" s="13">
        <v>3.0</v>
      </c>
      <c r="E107" s="5">
        <v>1.0</v>
      </c>
      <c r="F107" s="11">
        <v>649.0</v>
      </c>
      <c r="G107" s="20">
        <v>249.0</v>
      </c>
      <c r="H107" s="5">
        <v>1.0</v>
      </c>
      <c r="I107" s="5">
        <v>1.0</v>
      </c>
      <c r="J107" s="11">
        <f t="shared" si="1"/>
        <v>6.49</v>
      </c>
      <c r="L107" s="27">
        <v>43204.0</v>
      </c>
      <c r="M107" s="7">
        <v>0.5041666666666667</v>
      </c>
      <c r="N107" s="7">
        <v>0.5111111111111112</v>
      </c>
      <c r="O107" s="8" t="s">
        <v>25</v>
      </c>
      <c r="R107" s="9">
        <f t="shared" si="2"/>
        <v>0.006944444444</v>
      </c>
      <c r="AA107" s="27"/>
      <c r="AB107" s="7"/>
      <c r="AC107" s="7"/>
      <c r="AD107" s="8"/>
    </row>
    <row r="108" ht="15.75" customHeight="1">
      <c r="D108" s="5">
        <v>9.0</v>
      </c>
      <c r="F108" s="11"/>
      <c r="G108" s="20"/>
      <c r="J108" s="11">
        <f t="shared" si="1"/>
        <v>0</v>
      </c>
      <c r="L108" s="27">
        <v>43204.0</v>
      </c>
      <c r="M108" s="7">
        <v>0.5194444444444445</v>
      </c>
      <c r="N108" s="7">
        <v>0.5236111111111111</v>
      </c>
      <c r="O108" s="8" t="s">
        <v>25</v>
      </c>
      <c r="R108" s="9">
        <f t="shared" si="2"/>
        <v>0.004166666667</v>
      </c>
      <c r="AA108" s="27"/>
      <c r="AB108" s="9"/>
      <c r="AC108" s="9"/>
      <c r="AD108" s="8"/>
    </row>
    <row r="109" ht="15.75" customHeight="1">
      <c r="B109" s="5" t="s">
        <v>48</v>
      </c>
      <c r="C109" s="5">
        <v>1.0</v>
      </c>
      <c r="D109" s="5">
        <v>10.0</v>
      </c>
      <c r="E109" s="5">
        <v>1.0</v>
      </c>
      <c r="F109" s="11">
        <v>265.0</v>
      </c>
      <c r="G109" s="20">
        <v>171.0</v>
      </c>
      <c r="H109" s="5">
        <v>1.0</v>
      </c>
      <c r="I109" s="5">
        <v>1.0</v>
      </c>
      <c r="J109" s="11">
        <f t="shared" si="1"/>
        <v>2.65</v>
      </c>
      <c r="L109" s="27">
        <v>43204.0</v>
      </c>
      <c r="M109" s="7">
        <v>0.5277777777777778</v>
      </c>
      <c r="N109" s="7">
        <v>0.5319444444444444</v>
      </c>
      <c r="O109" s="8" t="s">
        <v>25</v>
      </c>
      <c r="R109" s="9">
        <f t="shared" si="2"/>
        <v>0.004166666667</v>
      </c>
      <c r="AA109" s="27"/>
      <c r="AB109" s="9"/>
      <c r="AC109" s="9"/>
      <c r="AD109" s="8"/>
    </row>
    <row r="110" ht="15.75" customHeight="1">
      <c r="D110" s="13">
        <v>2.0</v>
      </c>
      <c r="F110" s="11"/>
      <c r="G110" s="20"/>
      <c r="J110" s="11">
        <f t="shared" si="1"/>
        <v>0</v>
      </c>
      <c r="L110" s="27">
        <v>43204.0</v>
      </c>
      <c r="M110" s="7">
        <v>0.5479166666666667</v>
      </c>
      <c r="N110" s="7">
        <v>0.5513888888888888</v>
      </c>
      <c r="O110" s="8" t="s">
        <v>25</v>
      </c>
      <c r="R110" s="9">
        <f t="shared" si="2"/>
        <v>0.003472222222</v>
      </c>
      <c r="AA110" s="27"/>
      <c r="AB110" s="7"/>
      <c r="AC110" s="7"/>
      <c r="AD110" s="8"/>
    </row>
    <row r="111" ht="15.75" customHeight="1">
      <c r="D111" s="13">
        <v>5.0</v>
      </c>
      <c r="F111" s="11"/>
      <c r="G111" s="20"/>
      <c r="J111" s="11">
        <f t="shared" si="1"/>
        <v>0</v>
      </c>
      <c r="L111" s="27">
        <v>43204.0</v>
      </c>
      <c r="M111" s="7">
        <v>0.5583333333333333</v>
      </c>
      <c r="N111" s="7">
        <v>0.5645833333333333</v>
      </c>
      <c r="O111" s="8" t="s">
        <v>25</v>
      </c>
      <c r="R111" s="9">
        <f t="shared" si="2"/>
        <v>0.00625</v>
      </c>
      <c r="AA111" s="27"/>
      <c r="AB111" s="7"/>
      <c r="AC111" s="7"/>
      <c r="AD111" s="8"/>
    </row>
    <row r="112" ht="15.75" customHeight="1">
      <c r="D112" s="5">
        <v>8.0</v>
      </c>
      <c r="F112" s="11"/>
      <c r="G112" s="20"/>
      <c r="J112" s="11">
        <f t="shared" si="1"/>
        <v>0</v>
      </c>
      <c r="L112" s="27">
        <v>43204.0</v>
      </c>
      <c r="M112" s="9">
        <v>0.5743055555555555</v>
      </c>
      <c r="N112" s="9">
        <v>0.5826388888888888</v>
      </c>
      <c r="O112" s="8" t="s">
        <v>25</v>
      </c>
      <c r="R112" s="9">
        <f t="shared" si="2"/>
        <v>0.008333333333</v>
      </c>
      <c r="AA112" s="27"/>
      <c r="AB112" s="7"/>
      <c r="AC112" s="7"/>
      <c r="AD112" s="8"/>
    </row>
    <row r="113" ht="15.75" customHeight="1">
      <c r="D113" s="13">
        <v>6.0</v>
      </c>
      <c r="F113" s="11"/>
      <c r="G113" s="20"/>
      <c r="J113" s="11">
        <f t="shared" si="1"/>
        <v>0</v>
      </c>
      <c r="L113" s="27">
        <v>43204.0</v>
      </c>
      <c r="M113" s="7">
        <v>0.5951388888888889</v>
      </c>
      <c r="N113" s="7">
        <v>0.5993055555555555</v>
      </c>
      <c r="O113" s="8" t="s">
        <v>25</v>
      </c>
      <c r="R113" s="9">
        <f t="shared" si="2"/>
        <v>0.004166666667</v>
      </c>
      <c r="AA113" s="27"/>
      <c r="AB113" s="7"/>
      <c r="AC113" s="7"/>
      <c r="AD113" s="8"/>
    </row>
    <row r="114" ht="15.75" customHeight="1">
      <c r="B114" s="5" t="s">
        <v>48</v>
      </c>
      <c r="C114" s="5">
        <v>1.0</v>
      </c>
      <c r="D114" s="5">
        <v>11.0</v>
      </c>
      <c r="E114" s="5">
        <v>1.0</v>
      </c>
      <c r="F114" s="11">
        <v>352.0</v>
      </c>
      <c r="G114" s="20">
        <v>187.0</v>
      </c>
      <c r="H114" s="5">
        <v>2.0</v>
      </c>
      <c r="I114" s="5">
        <v>1.0</v>
      </c>
      <c r="J114" s="11">
        <f t="shared" si="1"/>
        <v>3.52</v>
      </c>
      <c r="L114" s="27">
        <v>43204.0</v>
      </c>
      <c r="M114" s="7">
        <v>0.6013888888888889</v>
      </c>
      <c r="N114" s="7">
        <v>0.6062500000000001</v>
      </c>
      <c r="O114" s="8" t="s">
        <v>25</v>
      </c>
      <c r="R114" s="9">
        <f t="shared" si="2"/>
        <v>0.004861111111</v>
      </c>
      <c r="AA114" s="34"/>
      <c r="AB114" s="9"/>
      <c r="AC114" s="9"/>
      <c r="AD114" s="8"/>
    </row>
    <row r="115" ht="15.75" customHeight="1">
      <c r="B115" s="5" t="s">
        <v>48</v>
      </c>
      <c r="C115" s="5">
        <v>1.0</v>
      </c>
      <c r="D115" s="5">
        <v>11.0</v>
      </c>
      <c r="E115" s="5">
        <v>1.0</v>
      </c>
      <c r="F115" s="11">
        <v>530.0</v>
      </c>
      <c r="G115" s="20">
        <v>187.0</v>
      </c>
      <c r="H115" s="5">
        <v>2.0</v>
      </c>
      <c r="I115" s="5">
        <v>1.0</v>
      </c>
      <c r="J115" s="11">
        <f t="shared" si="1"/>
        <v>5.3</v>
      </c>
      <c r="K115" s="5" t="s">
        <v>57</v>
      </c>
      <c r="L115" s="27">
        <v>43204.0</v>
      </c>
      <c r="M115" s="7"/>
      <c r="N115" s="7"/>
      <c r="O115" s="8" t="s">
        <v>25</v>
      </c>
      <c r="R115" s="9">
        <f t="shared" si="2"/>
        <v>0</v>
      </c>
      <c r="AA115" s="34"/>
      <c r="AB115" s="9"/>
      <c r="AC115" s="9"/>
      <c r="AD115" s="8"/>
    </row>
    <row r="116" ht="15.75" customHeight="1">
      <c r="D116" s="13">
        <v>1.0</v>
      </c>
      <c r="F116" s="11"/>
      <c r="G116" s="20"/>
      <c r="J116" s="11">
        <f t="shared" si="1"/>
        <v>0</v>
      </c>
      <c r="L116" s="27">
        <v>43204.0</v>
      </c>
      <c r="M116" s="9">
        <v>0.6229166666666667</v>
      </c>
      <c r="N116" s="9">
        <v>0.6263888888888889</v>
      </c>
      <c r="O116" s="8" t="s">
        <v>25</v>
      </c>
      <c r="R116" s="9">
        <f t="shared" si="2"/>
        <v>0.003472222222</v>
      </c>
      <c r="AA116" s="34"/>
      <c r="AB116" s="9"/>
      <c r="AC116" s="9"/>
      <c r="AD116" s="8"/>
    </row>
    <row r="117" ht="15.75" customHeight="1">
      <c r="B117" s="22"/>
      <c r="C117" s="22"/>
      <c r="D117" s="22">
        <v>12.0</v>
      </c>
      <c r="E117" s="22"/>
      <c r="F117" s="22"/>
      <c r="G117" s="48"/>
      <c r="H117" s="22"/>
      <c r="I117" s="22"/>
      <c r="J117" s="11">
        <f t="shared" si="1"/>
        <v>0</v>
      </c>
      <c r="K117" s="22"/>
      <c r="L117" s="29">
        <v>43204.0</v>
      </c>
      <c r="M117" s="33">
        <v>0.5444444444444444</v>
      </c>
      <c r="N117" s="33">
        <v>0.5479166666666667</v>
      </c>
      <c r="O117" s="25" t="s">
        <v>25</v>
      </c>
      <c r="P117" s="22"/>
      <c r="R117" s="9">
        <f t="shared" si="2"/>
        <v>0.003472222222</v>
      </c>
      <c r="AA117" s="34"/>
      <c r="AB117" s="9"/>
      <c r="AC117" s="9"/>
      <c r="AD117" s="8"/>
    </row>
    <row r="118" ht="15.75" customHeight="1">
      <c r="B118" s="5" t="s">
        <v>48</v>
      </c>
      <c r="C118" s="5">
        <v>1.0</v>
      </c>
      <c r="D118" s="13">
        <v>4.0</v>
      </c>
      <c r="E118" s="5">
        <v>1.0</v>
      </c>
      <c r="F118" s="11">
        <v>196.0</v>
      </c>
      <c r="G118" s="20">
        <v>175.0</v>
      </c>
      <c r="H118" s="5">
        <v>1.0</v>
      </c>
      <c r="I118" s="5">
        <v>1.0</v>
      </c>
      <c r="J118" s="11">
        <f t="shared" si="1"/>
        <v>1.96</v>
      </c>
      <c r="L118" s="34">
        <v>43246.0</v>
      </c>
      <c r="O118" s="8" t="s">
        <v>25</v>
      </c>
      <c r="P118" s="5" t="s">
        <v>64</v>
      </c>
      <c r="R118" s="9">
        <v>0.007638888888888889</v>
      </c>
      <c r="AA118" s="34"/>
      <c r="AB118" s="9"/>
      <c r="AC118" s="9"/>
      <c r="AD118" s="8"/>
    </row>
    <row r="119" ht="15.75" customHeight="1">
      <c r="B119" s="5" t="s">
        <v>48</v>
      </c>
      <c r="C119" s="5">
        <v>1.0</v>
      </c>
      <c r="D119" s="13">
        <v>4.0</v>
      </c>
      <c r="E119" s="5">
        <v>2.0</v>
      </c>
      <c r="F119" s="11">
        <v>307.0</v>
      </c>
      <c r="G119" s="20">
        <v>45.0</v>
      </c>
      <c r="H119" s="5">
        <v>1.0</v>
      </c>
      <c r="I119" s="5">
        <v>1.0</v>
      </c>
      <c r="J119" s="11">
        <f t="shared" si="1"/>
        <v>3.07</v>
      </c>
      <c r="L119" s="34">
        <v>43246.0</v>
      </c>
      <c r="O119" s="8" t="s">
        <v>25</v>
      </c>
      <c r="P119" s="5" t="s">
        <v>64</v>
      </c>
      <c r="AA119" s="34"/>
      <c r="AB119" s="9"/>
      <c r="AC119" s="9"/>
      <c r="AD119" s="8"/>
    </row>
    <row r="120" ht="15.75" customHeight="1">
      <c r="B120" s="5" t="s">
        <v>48</v>
      </c>
      <c r="C120" s="22">
        <v>1.0</v>
      </c>
      <c r="D120" s="35">
        <v>2.0</v>
      </c>
      <c r="E120" s="22">
        <v>1.0</v>
      </c>
      <c r="F120" s="22">
        <v>170.0</v>
      </c>
      <c r="G120" s="48">
        <v>120.0</v>
      </c>
      <c r="H120" s="22">
        <v>5.0</v>
      </c>
      <c r="I120" s="22">
        <v>5.0</v>
      </c>
      <c r="J120" s="11">
        <f t="shared" si="1"/>
        <v>1.7</v>
      </c>
      <c r="K120" s="22"/>
      <c r="L120" s="29">
        <v>43246.0</v>
      </c>
      <c r="M120" s="22"/>
      <c r="N120" s="22"/>
      <c r="O120" s="25" t="s">
        <v>25</v>
      </c>
      <c r="P120" s="22" t="s">
        <v>64</v>
      </c>
      <c r="R120" s="9">
        <v>0.006944444444444444</v>
      </c>
      <c r="AA120" s="34"/>
      <c r="AB120" s="9"/>
      <c r="AC120" s="9"/>
      <c r="AD120" s="8"/>
    </row>
    <row r="121" ht="15.75" customHeight="1">
      <c r="B121" s="5" t="s">
        <v>48</v>
      </c>
      <c r="C121" s="5">
        <v>1.0</v>
      </c>
      <c r="D121" s="13">
        <v>5.0</v>
      </c>
      <c r="E121" s="5">
        <v>1.0</v>
      </c>
      <c r="F121" s="11">
        <v>247.0</v>
      </c>
      <c r="G121" s="20">
        <v>120.0</v>
      </c>
      <c r="H121" s="5">
        <v>1.0</v>
      </c>
      <c r="I121" s="5">
        <v>1.0</v>
      </c>
      <c r="J121" s="11">
        <f t="shared" si="1"/>
        <v>2.47</v>
      </c>
      <c r="L121" s="27">
        <v>43277.0</v>
      </c>
      <c r="O121" s="8" t="s">
        <v>25</v>
      </c>
      <c r="R121" s="9">
        <v>0.004166666666666667</v>
      </c>
      <c r="AA121" s="34"/>
      <c r="AB121" s="9"/>
      <c r="AC121" s="9"/>
      <c r="AD121" s="8"/>
    </row>
    <row r="122" ht="15.75" customHeight="1">
      <c r="B122" s="5" t="s">
        <v>48</v>
      </c>
      <c r="C122" s="5">
        <v>1.0</v>
      </c>
      <c r="D122" s="5">
        <v>8.0</v>
      </c>
      <c r="E122" s="5">
        <v>1.0</v>
      </c>
      <c r="F122" s="11">
        <v>1099.0</v>
      </c>
      <c r="G122" s="20">
        <v>0.0</v>
      </c>
      <c r="H122" s="5">
        <v>6.0</v>
      </c>
      <c r="I122" s="5">
        <v>1.0</v>
      </c>
      <c r="J122" s="11">
        <f t="shared" si="1"/>
        <v>10.99</v>
      </c>
      <c r="L122" s="27">
        <v>43277.0</v>
      </c>
      <c r="O122" s="8" t="s">
        <v>25</v>
      </c>
      <c r="R122" s="9">
        <v>0.005555555555555556</v>
      </c>
      <c r="AA122" s="34"/>
      <c r="AB122" s="9"/>
      <c r="AC122" s="9"/>
      <c r="AD122" s="8"/>
    </row>
    <row r="123" ht="15.75" customHeight="1">
      <c r="B123" s="5" t="s">
        <v>48</v>
      </c>
      <c r="C123" s="22">
        <v>1.0</v>
      </c>
      <c r="D123" s="35">
        <v>1.0</v>
      </c>
      <c r="E123" s="22">
        <v>1.0</v>
      </c>
      <c r="F123" s="22">
        <v>319.0</v>
      </c>
      <c r="G123" s="48">
        <v>90.0</v>
      </c>
      <c r="H123" s="22">
        <v>1.0</v>
      </c>
      <c r="I123" s="22">
        <v>1.0</v>
      </c>
      <c r="J123" s="11">
        <f t="shared" si="1"/>
        <v>3.19</v>
      </c>
      <c r="K123" s="22"/>
      <c r="L123" s="29">
        <v>43277.0</v>
      </c>
      <c r="M123" s="22"/>
      <c r="N123" s="22"/>
      <c r="O123" s="25" t="s">
        <v>25</v>
      </c>
      <c r="P123" s="22"/>
      <c r="R123" s="9">
        <v>0.004166666666666667</v>
      </c>
      <c r="AA123" s="34"/>
      <c r="AB123" s="9"/>
      <c r="AC123" s="9"/>
      <c r="AD123" s="8"/>
    </row>
    <row r="124" ht="15.75" customHeight="1">
      <c r="B124" s="5" t="s">
        <v>48</v>
      </c>
      <c r="C124" s="5">
        <v>1.0</v>
      </c>
      <c r="D124" s="13">
        <v>4.0</v>
      </c>
      <c r="E124" s="5">
        <v>1.0</v>
      </c>
      <c r="F124" s="11">
        <v>12030.0</v>
      </c>
      <c r="G124" s="20">
        <v>603.0</v>
      </c>
      <c r="H124" s="5">
        <v>1.0</v>
      </c>
      <c r="I124" s="5">
        <v>5.0</v>
      </c>
      <c r="J124" s="11">
        <f t="shared" si="1"/>
        <v>120.3</v>
      </c>
      <c r="L124" s="34">
        <v>43308.0</v>
      </c>
      <c r="O124" s="8" t="s">
        <v>74</v>
      </c>
      <c r="AA124" s="34"/>
      <c r="AB124" s="9"/>
      <c r="AC124" s="9"/>
      <c r="AD124" s="8"/>
    </row>
    <row r="125" ht="15.75" customHeight="1">
      <c r="B125" s="5" t="s">
        <v>48</v>
      </c>
      <c r="C125" s="5">
        <v>1.0</v>
      </c>
      <c r="D125" s="13">
        <v>4.0</v>
      </c>
      <c r="E125" s="5">
        <v>1.0</v>
      </c>
      <c r="F125" s="11">
        <v>780.0</v>
      </c>
      <c r="G125" s="20">
        <v>192.0</v>
      </c>
      <c r="H125" s="5">
        <v>1.0</v>
      </c>
      <c r="I125" s="5">
        <v>5.0</v>
      </c>
      <c r="J125" s="11">
        <f t="shared" si="1"/>
        <v>7.8</v>
      </c>
      <c r="L125" s="34">
        <v>43308.0</v>
      </c>
      <c r="O125" s="8" t="s">
        <v>74</v>
      </c>
      <c r="AA125" s="34"/>
      <c r="AB125" s="9"/>
      <c r="AC125" s="9"/>
      <c r="AD125" s="8"/>
    </row>
    <row r="126" ht="15.75" customHeight="1">
      <c r="B126" s="5" t="s">
        <v>48</v>
      </c>
      <c r="C126" s="5">
        <v>1.0</v>
      </c>
      <c r="D126" s="13">
        <v>3.0</v>
      </c>
      <c r="E126" s="5">
        <v>1.0</v>
      </c>
      <c r="F126" s="11">
        <v>676.0</v>
      </c>
      <c r="G126" s="20">
        <v>157.0</v>
      </c>
      <c r="H126" s="5">
        <v>1.0</v>
      </c>
      <c r="I126" s="5">
        <v>1.0</v>
      </c>
      <c r="J126" s="11">
        <f t="shared" si="1"/>
        <v>6.76</v>
      </c>
      <c r="L126" s="27">
        <v>43308.0</v>
      </c>
      <c r="O126" s="8" t="s">
        <v>74</v>
      </c>
      <c r="R126" s="9">
        <v>0.006944444444444444</v>
      </c>
      <c r="AA126" s="34"/>
      <c r="AB126" s="9"/>
      <c r="AC126" s="9"/>
      <c r="AD126" s="8"/>
    </row>
    <row r="127" ht="15.75" customHeight="1">
      <c r="B127" s="5" t="s">
        <v>48</v>
      </c>
      <c r="C127" s="5">
        <v>1.0</v>
      </c>
      <c r="D127" s="5">
        <v>9.0</v>
      </c>
      <c r="E127" s="5">
        <v>1.0</v>
      </c>
      <c r="F127" s="11">
        <v>295.0</v>
      </c>
      <c r="G127" s="20">
        <v>295.0</v>
      </c>
      <c r="H127" s="5">
        <v>4.0</v>
      </c>
      <c r="I127" s="5">
        <v>1.0</v>
      </c>
      <c r="J127" s="11">
        <f t="shared" si="1"/>
        <v>2.95</v>
      </c>
      <c r="L127" s="27">
        <v>43308.0</v>
      </c>
      <c r="O127" s="8" t="s">
        <v>74</v>
      </c>
      <c r="R127" s="9">
        <v>0.0062499999999999995</v>
      </c>
      <c r="AA127" s="34"/>
      <c r="AB127" s="9"/>
      <c r="AC127" s="9"/>
      <c r="AD127" s="8"/>
    </row>
    <row r="128" ht="15.75" customHeight="1">
      <c r="B128" s="5" t="s">
        <v>48</v>
      </c>
      <c r="C128" s="5">
        <v>1.0</v>
      </c>
      <c r="D128" s="5">
        <v>10.0</v>
      </c>
      <c r="E128" s="5">
        <v>1.0</v>
      </c>
      <c r="F128" s="11">
        <v>275.0</v>
      </c>
      <c r="G128" s="20">
        <v>175.0</v>
      </c>
      <c r="H128" s="5">
        <v>1.0</v>
      </c>
      <c r="I128" s="5">
        <v>1.0</v>
      </c>
      <c r="J128" s="11">
        <f t="shared" si="1"/>
        <v>2.75</v>
      </c>
      <c r="L128" s="27">
        <v>43308.0</v>
      </c>
      <c r="O128" s="8" t="s">
        <v>74</v>
      </c>
      <c r="R128" s="9">
        <v>0.008333333333333333</v>
      </c>
      <c r="AA128" s="34"/>
      <c r="AB128" s="9"/>
      <c r="AC128" s="9"/>
      <c r="AD128" s="8"/>
    </row>
    <row r="129" ht="15.75" customHeight="1">
      <c r="B129" s="5" t="s">
        <v>48</v>
      </c>
      <c r="C129" s="5">
        <v>1.0</v>
      </c>
      <c r="D129" s="13">
        <v>5.0</v>
      </c>
      <c r="E129" s="5">
        <v>1.0</v>
      </c>
      <c r="F129" s="11">
        <v>290.0</v>
      </c>
      <c r="G129" s="20">
        <v>180.0</v>
      </c>
      <c r="H129" s="5">
        <v>1.0</v>
      </c>
      <c r="I129" s="5">
        <v>1.0</v>
      </c>
      <c r="J129" s="11">
        <f t="shared" si="1"/>
        <v>2.9</v>
      </c>
      <c r="L129" s="27">
        <v>43308.0</v>
      </c>
      <c r="O129" s="8" t="s">
        <v>25</v>
      </c>
      <c r="R129" s="9">
        <v>0.005555555555555556</v>
      </c>
      <c r="AA129" s="34"/>
      <c r="AB129" s="9"/>
      <c r="AC129" s="9"/>
      <c r="AD129" s="8"/>
    </row>
    <row r="130" ht="15.75" customHeight="1">
      <c r="B130" s="5" t="s">
        <v>48</v>
      </c>
      <c r="C130" s="5">
        <v>1.0</v>
      </c>
      <c r="D130" s="13">
        <v>5.0</v>
      </c>
      <c r="E130" s="5">
        <v>1.0</v>
      </c>
      <c r="F130" s="11">
        <v>290.0</v>
      </c>
      <c r="G130" s="20">
        <v>180.0</v>
      </c>
      <c r="H130" s="5">
        <v>1.0</v>
      </c>
      <c r="I130" s="5">
        <v>1.0</v>
      </c>
      <c r="J130" s="11">
        <f t="shared" si="1"/>
        <v>2.9</v>
      </c>
      <c r="L130" s="27">
        <v>43308.0</v>
      </c>
      <c r="O130" s="8" t="s">
        <v>25</v>
      </c>
      <c r="AA130" s="34"/>
      <c r="AB130" s="9"/>
      <c r="AC130" s="9"/>
      <c r="AD130" s="8"/>
    </row>
    <row r="131" ht="15.75" customHeight="1">
      <c r="B131" s="5" t="s">
        <v>48</v>
      </c>
      <c r="C131" s="5">
        <v>1.0</v>
      </c>
      <c r="D131" s="5">
        <v>8.0</v>
      </c>
      <c r="E131" s="5">
        <v>1.0</v>
      </c>
      <c r="F131" s="11">
        <v>538.0</v>
      </c>
      <c r="G131" s="20">
        <v>440.0</v>
      </c>
      <c r="H131" s="5">
        <v>2.0</v>
      </c>
      <c r="I131" s="5">
        <v>1.0</v>
      </c>
      <c r="J131" s="11">
        <f t="shared" si="1"/>
        <v>5.38</v>
      </c>
      <c r="L131" s="27">
        <v>43308.0</v>
      </c>
      <c r="O131" s="8" t="s">
        <v>25</v>
      </c>
      <c r="R131" s="9">
        <v>0.005555555555555556</v>
      </c>
      <c r="AA131" s="34"/>
      <c r="AB131" s="9"/>
      <c r="AC131" s="9"/>
      <c r="AD131" s="8"/>
    </row>
    <row r="132" ht="15.75" customHeight="1">
      <c r="B132" s="5" t="s">
        <v>48</v>
      </c>
      <c r="C132" s="22">
        <v>1.0</v>
      </c>
      <c r="D132" s="22">
        <v>8.0</v>
      </c>
      <c r="E132" s="22">
        <v>1.0</v>
      </c>
      <c r="F132" s="22">
        <v>299.0</v>
      </c>
      <c r="G132" s="48">
        <v>140.0</v>
      </c>
      <c r="H132" s="22">
        <v>1.0</v>
      </c>
      <c r="I132" s="22">
        <v>1.0</v>
      </c>
      <c r="J132" s="11">
        <f t="shared" si="1"/>
        <v>2.99</v>
      </c>
      <c r="K132" s="22"/>
      <c r="L132" s="29">
        <v>43308.0</v>
      </c>
      <c r="M132" s="22"/>
      <c r="N132" s="22"/>
      <c r="O132" s="25" t="s">
        <v>25</v>
      </c>
      <c r="P132" s="22"/>
      <c r="AA132" s="34"/>
      <c r="AB132" s="9"/>
      <c r="AC132" s="9"/>
      <c r="AD132" s="8"/>
    </row>
    <row r="133" ht="15.75" customHeight="1">
      <c r="B133" s="5" t="s">
        <v>60</v>
      </c>
      <c r="C133" s="5">
        <v>1.0</v>
      </c>
      <c r="D133" s="5">
        <v>7.0</v>
      </c>
      <c r="E133" s="5">
        <v>2.0</v>
      </c>
      <c r="F133" s="11">
        <v>454.0</v>
      </c>
      <c r="G133" s="20">
        <v>117.0</v>
      </c>
      <c r="H133" s="5">
        <v>2.0</v>
      </c>
      <c r="I133" s="5">
        <v>1.0</v>
      </c>
      <c r="J133" s="11">
        <f t="shared" si="1"/>
        <v>4.54</v>
      </c>
      <c r="L133" s="41">
        <v>42963.0</v>
      </c>
      <c r="M133" s="7"/>
      <c r="N133" s="7"/>
      <c r="O133" s="8" t="s">
        <v>25</v>
      </c>
      <c r="P133" s="8" t="s">
        <v>26</v>
      </c>
      <c r="Q133" s="8"/>
      <c r="AA133" s="34"/>
      <c r="AB133" s="9"/>
      <c r="AC133" s="9"/>
      <c r="AD133" s="8"/>
    </row>
    <row r="134" ht="15.75" customHeight="1">
      <c r="B134" s="5" t="s">
        <v>60</v>
      </c>
      <c r="C134" s="5">
        <v>1.0</v>
      </c>
      <c r="D134" s="5">
        <v>7.0</v>
      </c>
      <c r="E134" s="5">
        <v>2.0</v>
      </c>
      <c r="F134" s="11">
        <v>300.0</v>
      </c>
      <c r="G134" s="20">
        <v>30.0</v>
      </c>
      <c r="H134" s="5">
        <v>2.0</v>
      </c>
      <c r="I134" s="5">
        <v>1.0</v>
      </c>
      <c r="J134" s="11">
        <f t="shared" si="1"/>
        <v>3</v>
      </c>
      <c r="L134" s="41">
        <v>42963.0</v>
      </c>
      <c r="M134" s="7"/>
      <c r="N134" s="7"/>
      <c r="O134" s="8" t="s">
        <v>25</v>
      </c>
      <c r="P134" s="8" t="s">
        <v>94</v>
      </c>
      <c r="Q134" s="8"/>
      <c r="AA134" s="34"/>
      <c r="AB134" s="9"/>
      <c r="AC134" s="9"/>
      <c r="AD134" s="8"/>
    </row>
    <row r="135" ht="15.75" customHeight="1">
      <c r="B135" s="5" t="s">
        <v>60</v>
      </c>
      <c r="C135" s="5">
        <v>1.0</v>
      </c>
      <c r="D135" s="5">
        <v>7.0</v>
      </c>
      <c r="E135" s="5">
        <v>2.0</v>
      </c>
      <c r="F135" s="11">
        <v>300.0</v>
      </c>
      <c r="G135" s="20">
        <v>30.0</v>
      </c>
      <c r="H135" s="5">
        <v>2.0</v>
      </c>
      <c r="I135" s="5">
        <v>1.0</v>
      </c>
      <c r="J135" s="11">
        <f t="shared" si="1"/>
        <v>3</v>
      </c>
      <c r="L135" s="41">
        <v>42963.0</v>
      </c>
      <c r="M135" s="7"/>
      <c r="N135" s="7"/>
      <c r="O135" s="8" t="s">
        <v>25</v>
      </c>
      <c r="P135" s="8"/>
      <c r="Q135" s="8"/>
      <c r="AA135" s="34"/>
      <c r="AB135" s="9"/>
      <c r="AC135" s="9"/>
      <c r="AD135" s="8"/>
    </row>
    <row r="136" ht="15.75" customHeight="1">
      <c r="C136" s="11"/>
      <c r="D136" s="13">
        <v>3.0</v>
      </c>
      <c r="F136" s="11"/>
      <c r="G136" s="20"/>
      <c r="J136" s="11">
        <f t="shared" si="1"/>
        <v>0</v>
      </c>
      <c r="L136" s="41">
        <v>42963.0</v>
      </c>
      <c r="M136" s="7"/>
      <c r="N136" s="7"/>
      <c r="O136" s="8" t="s">
        <v>25</v>
      </c>
      <c r="AA136" s="34"/>
      <c r="AB136" s="9"/>
      <c r="AC136" s="9"/>
      <c r="AD136" s="8"/>
    </row>
    <row r="137" ht="15.75" customHeight="1">
      <c r="C137" s="11"/>
      <c r="D137" s="5">
        <v>9.0</v>
      </c>
      <c r="F137" s="11"/>
      <c r="G137" s="20"/>
      <c r="J137" s="11">
        <f t="shared" si="1"/>
        <v>0</v>
      </c>
      <c r="L137" s="41">
        <v>42963.0</v>
      </c>
      <c r="M137" s="7"/>
      <c r="N137" s="7"/>
      <c r="O137" s="8" t="s">
        <v>25</v>
      </c>
      <c r="AA137" s="34"/>
      <c r="AB137" s="9"/>
      <c r="AC137" s="9"/>
      <c r="AD137" s="8"/>
    </row>
    <row r="138" ht="15.75" customHeight="1">
      <c r="D138" s="5">
        <v>10.0</v>
      </c>
      <c r="F138" s="11"/>
      <c r="G138" s="20"/>
      <c r="J138" s="11">
        <f t="shared" si="1"/>
        <v>0</v>
      </c>
      <c r="L138" s="41">
        <v>42963.0</v>
      </c>
      <c r="M138" s="7"/>
      <c r="N138" s="7"/>
      <c r="O138" s="8" t="s">
        <v>25</v>
      </c>
      <c r="AA138" s="34"/>
      <c r="AB138" s="9"/>
      <c r="AC138" s="9"/>
      <c r="AD138" s="8"/>
    </row>
    <row r="139" ht="15.75" customHeight="1">
      <c r="D139" s="13">
        <v>4.0</v>
      </c>
      <c r="F139" s="11"/>
      <c r="G139" s="20"/>
      <c r="J139" s="11">
        <f t="shared" si="1"/>
        <v>0</v>
      </c>
      <c r="L139" s="41">
        <v>42963.0</v>
      </c>
      <c r="M139" s="7"/>
      <c r="N139" s="7"/>
      <c r="O139" s="8" t="s">
        <v>25</v>
      </c>
      <c r="AA139" s="34"/>
      <c r="AB139" s="9"/>
      <c r="AC139" s="9"/>
      <c r="AD139" s="8"/>
    </row>
    <row r="140" ht="15.75" customHeight="1">
      <c r="D140" s="13">
        <v>2.0</v>
      </c>
      <c r="F140" s="11"/>
      <c r="G140" s="20"/>
      <c r="J140" s="11">
        <f t="shared" si="1"/>
        <v>0</v>
      </c>
      <c r="L140" s="41">
        <v>42963.0</v>
      </c>
      <c r="M140" s="9"/>
      <c r="N140" s="9"/>
      <c r="O140" s="8" t="s">
        <v>25</v>
      </c>
      <c r="P140" s="8" t="s">
        <v>79</v>
      </c>
      <c r="Q140" s="8"/>
      <c r="AA140" s="34"/>
      <c r="AB140" s="9"/>
      <c r="AC140" s="9"/>
      <c r="AD140" s="8"/>
    </row>
    <row r="141" ht="15.75" customHeight="1">
      <c r="D141" s="13">
        <v>5.0</v>
      </c>
      <c r="F141" s="11"/>
      <c r="G141" s="20"/>
      <c r="J141" s="11">
        <f t="shared" si="1"/>
        <v>0</v>
      </c>
      <c r="L141" s="41">
        <v>42963.0</v>
      </c>
      <c r="M141" s="7"/>
      <c r="N141" s="7"/>
      <c r="O141" s="8" t="s">
        <v>25</v>
      </c>
      <c r="AA141" s="27"/>
      <c r="AB141" s="7"/>
      <c r="AC141" s="7"/>
      <c r="AD141" s="8"/>
    </row>
    <row r="142" ht="15.75" customHeight="1">
      <c r="B142" s="5" t="s">
        <v>60</v>
      </c>
      <c r="C142" s="5">
        <v>1.0</v>
      </c>
      <c r="D142" s="5">
        <v>8.0</v>
      </c>
      <c r="E142" s="5">
        <v>2.0</v>
      </c>
      <c r="F142" s="11">
        <v>216.0</v>
      </c>
      <c r="G142" s="20">
        <v>143.0</v>
      </c>
      <c r="H142" s="5">
        <v>2.0</v>
      </c>
      <c r="I142" s="5">
        <v>1.0</v>
      </c>
      <c r="J142" s="11">
        <f t="shared" si="1"/>
        <v>2.16</v>
      </c>
      <c r="L142" s="41">
        <v>42963.0</v>
      </c>
      <c r="M142" s="9"/>
      <c r="N142" s="9"/>
      <c r="O142" s="5" t="s">
        <v>25</v>
      </c>
      <c r="P142" s="5" t="s">
        <v>79</v>
      </c>
      <c r="AA142" s="27"/>
      <c r="AB142" s="7"/>
      <c r="AC142" s="7"/>
      <c r="AD142" s="8"/>
    </row>
    <row r="143" ht="15.75" customHeight="1">
      <c r="B143" s="5" t="s">
        <v>60</v>
      </c>
      <c r="C143" s="5">
        <v>1.0</v>
      </c>
      <c r="D143" s="5">
        <v>8.0</v>
      </c>
      <c r="E143" s="5">
        <v>1.0</v>
      </c>
      <c r="F143" s="11">
        <v>218.0</v>
      </c>
      <c r="G143" s="20">
        <v>397.0</v>
      </c>
      <c r="H143" s="5">
        <v>5.0</v>
      </c>
      <c r="I143" s="5">
        <v>1.0</v>
      </c>
      <c r="J143" s="11">
        <f t="shared" si="1"/>
        <v>2.18</v>
      </c>
      <c r="K143" s="5" t="s">
        <v>57</v>
      </c>
      <c r="L143" s="41">
        <v>42963.0</v>
      </c>
      <c r="M143" s="9"/>
      <c r="N143" s="9"/>
      <c r="O143" s="5" t="s">
        <v>25</v>
      </c>
      <c r="P143" s="5" t="s">
        <v>79</v>
      </c>
      <c r="AA143" s="27"/>
      <c r="AB143" s="7"/>
      <c r="AC143" s="7"/>
      <c r="AD143" s="8"/>
    </row>
    <row r="144" ht="15.75" customHeight="1">
      <c r="B144" s="5" t="s">
        <v>60</v>
      </c>
      <c r="C144" s="5">
        <v>1.0</v>
      </c>
      <c r="D144" s="5">
        <v>8.0</v>
      </c>
      <c r="E144" s="5">
        <v>1.0</v>
      </c>
      <c r="F144" s="11">
        <v>286.0</v>
      </c>
      <c r="G144" s="20">
        <v>123.0</v>
      </c>
      <c r="H144" s="5">
        <v>5.0</v>
      </c>
      <c r="I144" s="5">
        <v>5.0</v>
      </c>
      <c r="J144" s="11">
        <f t="shared" si="1"/>
        <v>2.86</v>
      </c>
      <c r="K144" s="5" t="s">
        <v>55</v>
      </c>
      <c r="L144" s="41">
        <v>42963.0</v>
      </c>
      <c r="M144" s="9"/>
      <c r="N144" s="9"/>
      <c r="O144" s="5" t="s">
        <v>25</v>
      </c>
      <c r="P144" s="5" t="s">
        <v>79</v>
      </c>
      <c r="AA144" s="27"/>
      <c r="AB144" s="7"/>
      <c r="AC144" s="7"/>
      <c r="AD144" s="8"/>
    </row>
    <row r="145" ht="15.75" customHeight="1">
      <c r="B145" s="5" t="s">
        <v>60</v>
      </c>
      <c r="C145" s="5">
        <v>1.0</v>
      </c>
      <c r="D145" s="5">
        <v>8.0</v>
      </c>
      <c r="E145" s="5">
        <v>2.0</v>
      </c>
      <c r="F145" s="11">
        <v>193.0</v>
      </c>
      <c r="G145" s="20">
        <v>90.0</v>
      </c>
      <c r="H145" s="5">
        <v>5.0</v>
      </c>
      <c r="I145" s="5">
        <v>5.0</v>
      </c>
      <c r="J145" s="11">
        <f t="shared" si="1"/>
        <v>1.93</v>
      </c>
      <c r="L145" s="41">
        <v>42963.0</v>
      </c>
      <c r="M145" s="9"/>
      <c r="N145" s="9"/>
      <c r="O145" s="5" t="s">
        <v>25</v>
      </c>
      <c r="P145" s="5" t="s">
        <v>79</v>
      </c>
      <c r="AA145" s="27"/>
      <c r="AB145" s="7"/>
      <c r="AC145" s="7"/>
      <c r="AD145" s="8"/>
    </row>
    <row r="146" ht="15.75" customHeight="1">
      <c r="B146" s="5" t="s">
        <v>60</v>
      </c>
      <c r="C146" s="5">
        <v>1.0</v>
      </c>
      <c r="D146" s="5">
        <v>12.0</v>
      </c>
      <c r="E146" s="5">
        <v>2.0</v>
      </c>
      <c r="F146" s="11">
        <v>353.0</v>
      </c>
      <c r="G146" s="20">
        <v>200.0</v>
      </c>
      <c r="H146" s="5">
        <v>5.0</v>
      </c>
      <c r="I146" s="5">
        <v>1.0</v>
      </c>
      <c r="J146" s="11">
        <f t="shared" si="1"/>
        <v>3.53</v>
      </c>
      <c r="L146" s="41">
        <v>42963.0</v>
      </c>
      <c r="M146" s="7"/>
      <c r="N146" s="7"/>
      <c r="O146" s="8" t="s">
        <v>25</v>
      </c>
      <c r="P146" s="8" t="s">
        <v>26</v>
      </c>
      <c r="Q146" s="8"/>
      <c r="AA146" s="27"/>
      <c r="AB146" s="7"/>
      <c r="AC146" s="7"/>
      <c r="AD146" s="8"/>
      <c r="AE146" s="8"/>
    </row>
    <row r="147" ht="15.75" customHeight="1">
      <c r="D147" s="13">
        <v>1.0</v>
      </c>
      <c r="F147" s="11"/>
      <c r="G147" s="20"/>
      <c r="J147" s="11">
        <f t="shared" si="1"/>
        <v>0</v>
      </c>
      <c r="L147" s="41">
        <v>42963.0</v>
      </c>
      <c r="M147" s="7"/>
      <c r="N147" s="7"/>
      <c r="O147" s="8" t="s">
        <v>25</v>
      </c>
      <c r="P147" s="8" t="s">
        <v>26</v>
      </c>
      <c r="Q147" s="8"/>
      <c r="AA147" s="27"/>
      <c r="AB147" s="7"/>
      <c r="AC147" s="7"/>
      <c r="AD147" s="8"/>
      <c r="AE147" s="8"/>
    </row>
    <row r="148" ht="15.75" customHeight="1">
      <c r="B148" s="5" t="s">
        <v>60</v>
      </c>
      <c r="C148" s="5">
        <v>1.0</v>
      </c>
      <c r="D148" s="13">
        <v>6.0</v>
      </c>
      <c r="E148" s="5">
        <v>1.0</v>
      </c>
      <c r="F148" s="11">
        <v>390.0</v>
      </c>
      <c r="G148" s="20">
        <v>0.0</v>
      </c>
      <c r="H148" s="5">
        <v>5.0</v>
      </c>
      <c r="I148" s="5">
        <v>1.0</v>
      </c>
      <c r="J148" s="11">
        <f t="shared" si="1"/>
        <v>3.9</v>
      </c>
      <c r="L148" s="41">
        <v>42963.0</v>
      </c>
      <c r="M148" s="7"/>
      <c r="N148" s="7"/>
      <c r="O148" s="8" t="s">
        <v>25</v>
      </c>
      <c r="AA148" s="27"/>
      <c r="AB148" s="7"/>
      <c r="AC148" s="7"/>
      <c r="AD148" s="8"/>
    </row>
    <row r="149" ht="15.75" customHeight="1">
      <c r="B149" s="5" t="s">
        <v>60</v>
      </c>
      <c r="C149" s="5">
        <v>1.0</v>
      </c>
      <c r="D149" s="5">
        <v>11.0</v>
      </c>
      <c r="E149" s="5">
        <v>1.0</v>
      </c>
      <c r="F149" s="11">
        <v>60.0</v>
      </c>
      <c r="G149" s="20">
        <v>260.0</v>
      </c>
      <c r="H149" s="5">
        <v>2.0</v>
      </c>
      <c r="I149" s="5">
        <v>5.0</v>
      </c>
      <c r="J149" s="11">
        <f t="shared" si="1"/>
        <v>0.6</v>
      </c>
      <c r="K149" s="5" t="s">
        <v>55</v>
      </c>
      <c r="L149" s="41">
        <v>42963.0</v>
      </c>
      <c r="M149" s="9"/>
      <c r="N149" s="9"/>
      <c r="O149" s="5" t="s">
        <v>65</v>
      </c>
      <c r="P149" s="5" t="s">
        <v>79</v>
      </c>
      <c r="AA149" s="27"/>
      <c r="AB149" s="7"/>
      <c r="AC149" s="7"/>
      <c r="AD149" s="8"/>
    </row>
    <row r="150" ht="15.75" customHeight="1">
      <c r="B150" s="5" t="s">
        <v>60</v>
      </c>
      <c r="C150" s="5">
        <v>1.0</v>
      </c>
      <c r="D150" s="5">
        <v>11.0</v>
      </c>
      <c r="E150" s="5">
        <v>2.0</v>
      </c>
      <c r="F150" s="11">
        <v>60.0</v>
      </c>
      <c r="G150" s="20">
        <v>519.0</v>
      </c>
      <c r="H150" s="5">
        <v>2.0</v>
      </c>
      <c r="I150" s="5">
        <v>5.0</v>
      </c>
      <c r="J150" s="11">
        <f t="shared" si="1"/>
        <v>0.6</v>
      </c>
      <c r="L150" s="41">
        <v>42963.0</v>
      </c>
      <c r="M150" s="9"/>
      <c r="N150" s="9"/>
      <c r="O150" s="5" t="s">
        <v>65</v>
      </c>
      <c r="P150" s="5" t="s">
        <v>79</v>
      </c>
      <c r="AA150" s="27"/>
      <c r="AB150" s="7"/>
      <c r="AC150" s="7"/>
      <c r="AD150" s="8"/>
    </row>
    <row r="151" ht="15.75" customHeight="1">
      <c r="B151" s="5" t="s">
        <v>60</v>
      </c>
      <c r="C151" s="5">
        <v>1.0</v>
      </c>
      <c r="D151" s="5">
        <v>11.0</v>
      </c>
      <c r="E151" s="5">
        <v>1.0</v>
      </c>
      <c r="F151" s="11">
        <v>60.0</v>
      </c>
      <c r="G151" s="20">
        <v>585.0</v>
      </c>
      <c r="H151" s="5">
        <v>2.0</v>
      </c>
      <c r="I151" s="5">
        <v>5.0</v>
      </c>
      <c r="J151" s="11">
        <f t="shared" si="1"/>
        <v>0.6</v>
      </c>
      <c r="L151" s="41">
        <v>42963.0</v>
      </c>
      <c r="M151" s="9"/>
      <c r="N151" s="9"/>
      <c r="O151" s="5" t="s">
        <v>65</v>
      </c>
      <c r="P151" s="5" t="s">
        <v>79</v>
      </c>
      <c r="AA151" s="27"/>
      <c r="AB151" s="7"/>
      <c r="AC151" s="7"/>
      <c r="AD151" s="8"/>
    </row>
    <row r="152" ht="15.75" customHeight="1">
      <c r="B152" s="5" t="s">
        <v>60</v>
      </c>
      <c r="C152" s="22">
        <v>1.0</v>
      </c>
      <c r="D152" s="22">
        <v>11.0</v>
      </c>
      <c r="E152" s="22">
        <v>1.0</v>
      </c>
      <c r="F152" s="22">
        <v>60.0</v>
      </c>
      <c r="G152" s="48">
        <v>585.0</v>
      </c>
      <c r="H152" s="22">
        <v>2.0</v>
      </c>
      <c r="I152" s="22">
        <v>1.0</v>
      </c>
      <c r="J152" s="11">
        <f t="shared" si="1"/>
        <v>0.6</v>
      </c>
      <c r="K152" s="22"/>
      <c r="L152" s="23">
        <v>42963.0</v>
      </c>
      <c r="M152" s="33"/>
      <c r="N152" s="33"/>
      <c r="O152" s="22" t="s">
        <v>65</v>
      </c>
      <c r="P152" s="22" t="s">
        <v>79</v>
      </c>
      <c r="AA152" s="27"/>
      <c r="AB152" s="9"/>
      <c r="AC152" s="9"/>
      <c r="AD152" s="8"/>
    </row>
    <row r="153" ht="15.75" customHeight="1">
      <c r="B153" s="5" t="s">
        <v>60</v>
      </c>
      <c r="C153" s="5">
        <v>1.0</v>
      </c>
      <c r="D153" s="5">
        <v>7.0</v>
      </c>
      <c r="E153" s="5">
        <v>2.0</v>
      </c>
      <c r="F153" s="11">
        <v>794.0</v>
      </c>
      <c r="G153" s="20">
        <v>90.0</v>
      </c>
      <c r="H153" s="5">
        <v>2.0</v>
      </c>
      <c r="I153" s="5">
        <v>1.0</v>
      </c>
      <c r="J153" s="11">
        <f t="shared" si="1"/>
        <v>7.94</v>
      </c>
      <c r="L153" s="41">
        <v>43022.0</v>
      </c>
      <c r="M153" s="9"/>
      <c r="N153" s="9"/>
      <c r="O153" s="5" t="s">
        <v>25</v>
      </c>
      <c r="AA153" s="27"/>
      <c r="AB153" s="7"/>
      <c r="AC153" s="9"/>
      <c r="AD153" s="8"/>
    </row>
    <row r="154" ht="15.75" customHeight="1">
      <c r="B154" s="5" t="s">
        <v>60</v>
      </c>
      <c r="C154" s="5">
        <v>1.0</v>
      </c>
      <c r="D154" s="5">
        <v>7.0</v>
      </c>
      <c r="E154" s="5">
        <v>2.0</v>
      </c>
      <c r="F154" s="11">
        <v>240.0</v>
      </c>
      <c r="G154" s="20">
        <v>270.0</v>
      </c>
      <c r="H154" s="5">
        <v>2.0</v>
      </c>
      <c r="I154" s="5">
        <v>1.0</v>
      </c>
      <c r="J154" s="11">
        <f t="shared" si="1"/>
        <v>2.4</v>
      </c>
      <c r="L154" s="41">
        <v>43022.0</v>
      </c>
      <c r="M154" s="9"/>
      <c r="N154" s="9"/>
      <c r="O154" s="5" t="s">
        <v>25</v>
      </c>
      <c r="AA154" s="27"/>
      <c r="AB154" s="7"/>
      <c r="AC154" s="9"/>
      <c r="AD154" s="8"/>
    </row>
    <row r="155" ht="15.75" customHeight="1">
      <c r="B155" s="5" t="s">
        <v>60</v>
      </c>
      <c r="C155" s="5">
        <v>1.0</v>
      </c>
      <c r="D155" s="5">
        <v>7.0</v>
      </c>
      <c r="E155" s="5">
        <v>1.0</v>
      </c>
      <c r="F155" s="11">
        <v>539.0</v>
      </c>
      <c r="G155" s="20">
        <v>120.0</v>
      </c>
      <c r="H155" s="5">
        <v>2.0</v>
      </c>
      <c r="I155" s="5">
        <v>1.0</v>
      </c>
      <c r="J155" s="11">
        <f t="shared" si="1"/>
        <v>5.39</v>
      </c>
      <c r="K155" s="5" t="s">
        <v>57</v>
      </c>
      <c r="L155" s="41">
        <v>43022.0</v>
      </c>
      <c r="M155" s="9"/>
      <c r="N155" s="9"/>
      <c r="O155" s="5" t="s">
        <v>25</v>
      </c>
      <c r="AA155" s="27"/>
      <c r="AB155" s="7"/>
      <c r="AC155" s="9"/>
      <c r="AD155" s="8"/>
    </row>
    <row r="156" ht="15.75" customHeight="1">
      <c r="B156" s="5" t="s">
        <v>60</v>
      </c>
      <c r="C156" s="5">
        <v>1.0</v>
      </c>
      <c r="D156" s="5">
        <v>7.0</v>
      </c>
      <c r="E156" s="5">
        <v>1.0</v>
      </c>
      <c r="F156" s="11">
        <v>171.0</v>
      </c>
      <c r="G156" s="20">
        <v>500.0</v>
      </c>
      <c r="H156" s="5">
        <v>2.0</v>
      </c>
      <c r="I156" s="5">
        <v>1.0</v>
      </c>
      <c r="J156" s="11">
        <f t="shared" si="1"/>
        <v>1.71</v>
      </c>
      <c r="K156" s="5" t="s">
        <v>57</v>
      </c>
      <c r="L156" s="41">
        <v>43022.0</v>
      </c>
      <c r="M156" s="9"/>
      <c r="N156" s="9"/>
      <c r="O156" s="5" t="s">
        <v>25</v>
      </c>
      <c r="AA156" s="27"/>
      <c r="AB156" s="7"/>
      <c r="AC156" s="7"/>
      <c r="AD156" s="8"/>
    </row>
    <row r="157" ht="15.75" customHeight="1">
      <c r="B157" s="5" t="s">
        <v>60</v>
      </c>
      <c r="C157" s="5">
        <v>1.0</v>
      </c>
      <c r="D157" s="13">
        <v>4.0</v>
      </c>
      <c r="E157" s="5">
        <v>2.0</v>
      </c>
      <c r="F157" s="11">
        <v>941.0</v>
      </c>
      <c r="G157" s="20">
        <v>190.0</v>
      </c>
      <c r="H157" s="5">
        <v>1.0</v>
      </c>
      <c r="I157" s="5">
        <v>1.0</v>
      </c>
      <c r="J157" s="11">
        <f t="shared" si="1"/>
        <v>9.41</v>
      </c>
      <c r="L157" s="41">
        <v>43022.0</v>
      </c>
      <c r="M157" s="7"/>
      <c r="N157" s="7"/>
      <c r="O157" s="8" t="s">
        <v>25</v>
      </c>
      <c r="AA157" s="27"/>
      <c r="AB157" s="7"/>
      <c r="AC157" s="7"/>
      <c r="AD157" s="8"/>
    </row>
    <row r="158" ht="15.75" customHeight="1">
      <c r="B158" s="5" t="s">
        <v>60</v>
      </c>
      <c r="C158" s="5">
        <v>1.0</v>
      </c>
      <c r="D158" s="13">
        <v>3.0</v>
      </c>
      <c r="E158" s="5">
        <v>1.0</v>
      </c>
      <c r="F158" s="11">
        <v>561.0</v>
      </c>
      <c r="G158" s="20">
        <v>230.0</v>
      </c>
      <c r="H158" s="5">
        <v>1.0</v>
      </c>
      <c r="I158" s="5">
        <v>1.0</v>
      </c>
      <c r="J158" s="11">
        <f t="shared" si="1"/>
        <v>5.61</v>
      </c>
      <c r="K158" s="5" t="s">
        <v>57</v>
      </c>
      <c r="L158" s="41">
        <v>43022.0</v>
      </c>
      <c r="M158" s="9"/>
      <c r="N158" s="9"/>
      <c r="O158" s="5" t="s">
        <v>25</v>
      </c>
      <c r="AA158" s="27"/>
      <c r="AB158" s="9"/>
      <c r="AC158" s="9"/>
      <c r="AD158" s="8"/>
    </row>
    <row r="159" ht="15.75" customHeight="1">
      <c r="B159" s="5" t="s">
        <v>60</v>
      </c>
      <c r="C159" s="5">
        <v>1.0</v>
      </c>
      <c r="D159" s="13">
        <v>3.0</v>
      </c>
      <c r="E159" s="5">
        <v>2.0</v>
      </c>
      <c r="F159" s="11">
        <v>793.0</v>
      </c>
      <c r="G159" s="20">
        <v>130.0</v>
      </c>
      <c r="H159" s="5">
        <v>1.0</v>
      </c>
      <c r="I159" s="5">
        <v>1.0</v>
      </c>
      <c r="J159" s="11">
        <f t="shared" si="1"/>
        <v>7.93</v>
      </c>
      <c r="L159" s="41">
        <v>43022.0</v>
      </c>
      <c r="M159" s="9"/>
      <c r="N159" s="9"/>
      <c r="O159" s="5" t="s">
        <v>25</v>
      </c>
      <c r="AA159" s="27"/>
      <c r="AB159" s="9"/>
      <c r="AC159" s="9"/>
      <c r="AD159" s="8"/>
    </row>
    <row r="160" ht="15.75" customHeight="1">
      <c r="B160" s="5" t="s">
        <v>60</v>
      </c>
      <c r="C160" s="5">
        <v>1.0</v>
      </c>
      <c r="D160" s="13">
        <v>3.0</v>
      </c>
      <c r="E160" s="5">
        <v>1.0</v>
      </c>
      <c r="F160" s="11">
        <v>826.0</v>
      </c>
      <c r="G160" s="20">
        <v>160.0</v>
      </c>
      <c r="H160" s="5">
        <v>1.0</v>
      </c>
      <c r="I160" s="5">
        <v>1.0</v>
      </c>
      <c r="J160" s="11">
        <f t="shared" si="1"/>
        <v>8.26</v>
      </c>
      <c r="K160" s="5" t="s">
        <v>55</v>
      </c>
      <c r="L160" s="41">
        <v>43022.0</v>
      </c>
      <c r="M160" s="9"/>
      <c r="N160" s="9"/>
      <c r="O160" s="5" t="s">
        <v>25</v>
      </c>
      <c r="AA160" s="27"/>
      <c r="AB160" s="9"/>
      <c r="AC160" s="9"/>
      <c r="AD160" s="8"/>
    </row>
    <row r="161" ht="15.75" customHeight="1">
      <c r="B161" s="5" t="s">
        <v>60</v>
      </c>
      <c r="C161" s="5">
        <v>1.0</v>
      </c>
      <c r="D161" s="5">
        <v>9.0</v>
      </c>
      <c r="E161" s="5">
        <v>1.0</v>
      </c>
      <c r="F161" s="11">
        <v>156.0</v>
      </c>
      <c r="G161" s="20">
        <v>196.0</v>
      </c>
      <c r="H161" s="5">
        <v>2.0</v>
      </c>
      <c r="I161" s="5">
        <v>1.0</v>
      </c>
      <c r="J161" s="11">
        <f t="shared" si="1"/>
        <v>1.56</v>
      </c>
      <c r="K161" s="5" t="s">
        <v>55</v>
      </c>
      <c r="L161" s="41">
        <v>43022.0</v>
      </c>
      <c r="M161" s="9"/>
      <c r="N161" s="9"/>
      <c r="O161" s="8" t="s">
        <v>25</v>
      </c>
      <c r="AA161" s="27"/>
      <c r="AB161" s="9"/>
      <c r="AC161" s="9"/>
      <c r="AD161" s="8"/>
    </row>
    <row r="162" ht="15.75" customHeight="1">
      <c r="B162" s="5" t="s">
        <v>60</v>
      </c>
      <c r="C162" s="5">
        <v>1.0</v>
      </c>
      <c r="D162" s="5">
        <v>9.0</v>
      </c>
      <c r="E162" s="5">
        <v>1.0</v>
      </c>
      <c r="F162" s="11">
        <v>156.0</v>
      </c>
      <c r="G162" s="20">
        <v>196.0</v>
      </c>
      <c r="H162" s="5">
        <v>2.0</v>
      </c>
      <c r="I162" s="5">
        <v>1.0</v>
      </c>
      <c r="J162" s="11">
        <f t="shared" si="1"/>
        <v>1.56</v>
      </c>
      <c r="K162" s="5" t="s">
        <v>57</v>
      </c>
      <c r="L162" s="41">
        <v>43022.0</v>
      </c>
      <c r="M162" s="9"/>
      <c r="N162" s="9"/>
      <c r="O162" s="8" t="s">
        <v>25</v>
      </c>
      <c r="AA162" s="27"/>
      <c r="AB162" s="9"/>
      <c r="AC162" s="9"/>
      <c r="AD162" s="8"/>
    </row>
    <row r="163" ht="15.75" customHeight="1">
      <c r="B163" s="5" t="s">
        <v>60</v>
      </c>
      <c r="C163" s="5">
        <v>1.0</v>
      </c>
      <c r="D163" s="5">
        <v>9.0</v>
      </c>
      <c r="E163" s="5">
        <v>2.0</v>
      </c>
      <c r="F163" s="11">
        <v>156.0</v>
      </c>
      <c r="G163" s="20">
        <v>196.0</v>
      </c>
      <c r="H163" s="5">
        <v>2.0</v>
      </c>
      <c r="I163" s="5">
        <v>1.0</v>
      </c>
      <c r="J163" s="11">
        <f t="shared" si="1"/>
        <v>1.56</v>
      </c>
      <c r="L163" s="41">
        <v>43022.0</v>
      </c>
      <c r="M163" s="9"/>
      <c r="N163" s="9"/>
      <c r="O163" s="8" t="s">
        <v>25</v>
      </c>
      <c r="AA163" s="27"/>
      <c r="AB163" s="7"/>
      <c r="AC163" s="7"/>
      <c r="AD163" s="8"/>
    </row>
    <row r="164" ht="15.75" customHeight="1">
      <c r="B164" s="5" t="s">
        <v>60</v>
      </c>
      <c r="C164" s="5">
        <v>1.0</v>
      </c>
      <c r="D164" s="5">
        <v>10.0</v>
      </c>
      <c r="E164" s="5">
        <v>2.0</v>
      </c>
      <c r="F164" s="11">
        <v>360.0</v>
      </c>
      <c r="G164" s="20">
        <v>90.0</v>
      </c>
      <c r="H164" s="5">
        <v>2.0</v>
      </c>
      <c r="I164" s="5">
        <v>1.0</v>
      </c>
      <c r="J164" s="11">
        <f t="shared" si="1"/>
        <v>3.6</v>
      </c>
      <c r="L164" s="41">
        <v>43022.0</v>
      </c>
      <c r="M164" s="7"/>
      <c r="N164" s="7"/>
      <c r="O164" s="8" t="s">
        <v>25</v>
      </c>
      <c r="P164" s="8" t="s">
        <v>79</v>
      </c>
      <c r="Q164" s="8"/>
      <c r="AA164" s="27"/>
      <c r="AB164" s="7"/>
      <c r="AC164" s="7"/>
      <c r="AD164" s="8"/>
    </row>
    <row r="165" ht="15.75" customHeight="1">
      <c r="B165" s="5" t="s">
        <v>60</v>
      </c>
      <c r="C165" s="5">
        <v>1.0</v>
      </c>
      <c r="D165" s="5">
        <v>10.0</v>
      </c>
      <c r="E165" s="5">
        <v>1.0</v>
      </c>
      <c r="F165" s="11">
        <v>348.0</v>
      </c>
      <c r="G165" s="20">
        <v>210.0</v>
      </c>
      <c r="H165" s="5">
        <v>2.0</v>
      </c>
      <c r="I165" s="5">
        <v>1.0</v>
      </c>
      <c r="J165" s="11">
        <f t="shared" si="1"/>
        <v>3.48</v>
      </c>
      <c r="K165" s="5" t="s">
        <v>57</v>
      </c>
      <c r="L165" s="41">
        <v>43022.0</v>
      </c>
      <c r="M165" s="7"/>
      <c r="N165" s="7"/>
      <c r="O165" s="8" t="s">
        <v>25</v>
      </c>
      <c r="P165" s="8" t="s">
        <v>79</v>
      </c>
      <c r="Q165" s="8"/>
      <c r="AA165" s="27"/>
      <c r="AB165" s="7"/>
      <c r="AC165" s="7"/>
      <c r="AD165" s="8"/>
    </row>
    <row r="166" ht="15.75" customHeight="1">
      <c r="B166" s="5" t="s">
        <v>60</v>
      </c>
      <c r="C166" s="5">
        <v>1.0</v>
      </c>
      <c r="D166" s="5">
        <v>10.0</v>
      </c>
      <c r="E166" s="5">
        <v>2.0</v>
      </c>
      <c r="F166" s="11">
        <v>224.0</v>
      </c>
      <c r="G166" s="20">
        <v>400.0</v>
      </c>
      <c r="H166" s="5">
        <v>2.0</v>
      </c>
      <c r="I166" s="5">
        <v>1.0</v>
      </c>
      <c r="J166" s="11">
        <f t="shared" si="1"/>
        <v>2.24</v>
      </c>
      <c r="L166" s="41">
        <v>43022.0</v>
      </c>
      <c r="M166" s="7"/>
      <c r="N166" s="7"/>
      <c r="O166" s="8" t="s">
        <v>25</v>
      </c>
      <c r="P166" s="8" t="s">
        <v>79</v>
      </c>
      <c r="Q166" s="8"/>
      <c r="AA166" s="27"/>
      <c r="AB166" s="7"/>
      <c r="AC166" s="7"/>
      <c r="AD166" s="8"/>
    </row>
    <row r="167" ht="15.75" customHeight="1">
      <c r="B167" s="5" t="s">
        <v>60</v>
      </c>
      <c r="C167" s="5">
        <v>1.0</v>
      </c>
      <c r="D167" s="5">
        <v>10.0</v>
      </c>
      <c r="E167" s="5">
        <v>1.0</v>
      </c>
      <c r="F167" s="11">
        <v>224.0</v>
      </c>
      <c r="G167" s="20">
        <v>500.0</v>
      </c>
      <c r="H167" s="5">
        <v>2.0</v>
      </c>
      <c r="I167" s="5">
        <v>1.0</v>
      </c>
      <c r="J167" s="11">
        <f t="shared" si="1"/>
        <v>2.24</v>
      </c>
      <c r="K167" s="5" t="s">
        <v>55</v>
      </c>
      <c r="L167" s="41">
        <v>43022.0</v>
      </c>
      <c r="M167" s="7"/>
      <c r="N167" s="7"/>
      <c r="O167" s="8" t="s">
        <v>25</v>
      </c>
      <c r="P167" s="8" t="s">
        <v>79</v>
      </c>
      <c r="Q167" s="8"/>
      <c r="AA167" s="27"/>
      <c r="AB167" s="7"/>
      <c r="AC167" s="7"/>
      <c r="AD167" s="8"/>
    </row>
    <row r="168" ht="15.75" customHeight="1">
      <c r="B168" s="5" t="s">
        <v>60</v>
      </c>
      <c r="C168" s="5">
        <v>1.0</v>
      </c>
      <c r="D168" s="5">
        <v>10.0</v>
      </c>
      <c r="E168" s="5">
        <v>2.0</v>
      </c>
      <c r="F168" s="11">
        <v>458.0</v>
      </c>
      <c r="G168" s="20">
        <v>350.0</v>
      </c>
      <c r="H168" s="5">
        <v>2.0</v>
      </c>
      <c r="I168" s="5">
        <v>5.0</v>
      </c>
      <c r="J168" s="11">
        <f t="shared" si="1"/>
        <v>4.58</v>
      </c>
      <c r="K168" s="5" t="s">
        <v>55</v>
      </c>
      <c r="L168" s="41">
        <v>43022.0</v>
      </c>
      <c r="M168" s="7"/>
      <c r="N168" s="7"/>
      <c r="O168" s="8" t="s">
        <v>25</v>
      </c>
      <c r="P168" s="8" t="s">
        <v>79</v>
      </c>
      <c r="Q168" s="8"/>
      <c r="AA168" s="27"/>
      <c r="AB168" s="7"/>
      <c r="AC168" s="7"/>
      <c r="AD168" s="8"/>
    </row>
    <row r="169" ht="15.75" customHeight="1">
      <c r="B169" s="5" t="s">
        <v>60</v>
      </c>
      <c r="C169" s="5">
        <v>1.0</v>
      </c>
      <c r="D169" s="5">
        <v>10.0</v>
      </c>
      <c r="E169" s="5">
        <v>1.0</v>
      </c>
      <c r="F169" s="11">
        <v>766.0</v>
      </c>
      <c r="G169" s="20">
        <v>362.0</v>
      </c>
      <c r="H169" s="5">
        <v>2.0</v>
      </c>
      <c r="I169" s="5">
        <v>1.0</v>
      </c>
      <c r="J169" s="11">
        <f t="shared" si="1"/>
        <v>7.66</v>
      </c>
      <c r="K169" s="5" t="s">
        <v>57</v>
      </c>
      <c r="L169" s="41">
        <v>43022.0</v>
      </c>
      <c r="M169" s="7"/>
      <c r="N169" s="7"/>
      <c r="O169" s="8" t="s">
        <v>25</v>
      </c>
      <c r="P169" s="8" t="s">
        <v>79</v>
      </c>
      <c r="Q169" s="8"/>
      <c r="AA169" s="27"/>
      <c r="AB169" s="7"/>
      <c r="AC169" s="7"/>
      <c r="AD169" s="8"/>
    </row>
    <row r="170" ht="15.75" customHeight="1">
      <c r="B170" s="5" t="s">
        <v>60</v>
      </c>
      <c r="C170" s="5">
        <v>1.0</v>
      </c>
      <c r="D170" s="5">
        <v>10.0</v>
      </c>
      <c r="E170" s="5">
        <v>1.0</v>
      </c>
      <c r="F170" s="11">
        <v>290.0</v>
      </c>
      <c r="G170" s="20">
        <v>120.0</v>
      </c>
      <c r="H170" s="5">
        <v>1.0</v>
      </c>
      <c r="I170" s="5">
        <v>1.0</v>
      </c>
      <c r="J170" s="11">
        <f t="shared" si="1"/>
        <v>2.9</v>
      </c>
      <c r="L170" s="41">
        <v>43022.0</v>
      </c>
      <c r="M170" s="7"/>
      <c r="N170" s="7"/>
      <c r="O170" s="8" t="s">
        <v>25</v>
      </c>
      <c r="P170" s="8" t="s">
        <v>79</v>
      </c>
      <c r="Q170" s="8"/>
      <c r="AA170" s="27"/>
      <c r="AB170" s="7"/>
      <c r="AC170" s="7"/>
      <c r="AD170" s="8"/>
    </row>
    <row r="171" ht="15.75" customHeight="1">
      <c r="B171" s="5" t="s">
        <v>60</v>
      </c>
      <c r="C171" s="5">
        <v>1.0</v>
      </c>
      <c r="D171" s="13">
        <v>2.0</v>
      </c>
      <c r="E171" s="5">
        <v>1.0</v>
      </c>
      <c r="F171" s="11">
        <v>248.0</v>
      </c>
      <c r="G171" s="20">
        <v>180.0</v>
      </c>
      <c r="H171" s="5">
        <v>1.0</v>
      </c>
      <c r="I171" s="5">
        <v>1.0</v>
      </c>
      <c r="J171" s="11">
        <f t="shared" si="1"/>
        <v>2.48</v>
      </c>
      <c r="L171" s="41">
        <v>43022.0</v>
      </c>
      <c r="M171" s="7"/>
      <c r="N171" s="7"/>
      <c r="O171" s="8" t="s">
        <v>25</v>
      </c>
      <c r="AA171" s="27"/>
      <c r="AB171" s="7"/>
      <c r="AC171" s="7"/>
      <c r="AD171" s="8"/>
    </row>
    <row r="172" ht="15.75" customHeight="1">
      <c r="B172" s="5" t="s">
        <v>60</v>
      </c>
      <c r="C172" s="5">
        <v>1.0</v>
      </c>
      <c r="D172" s="13">
        <v>2.0</v>
      </c>
      <c r="E172" s="5">
        <v>1.0</v>
      </c>
      <c r="F172" s="11">
        <v>368.0</v>
      </c>
      <c r="G172" s="20">
        <v>180.0</v>
      </c>
      <c r="H172" s="5">
        <v>5.0</v>
      </c>
      <c r="I172" s="5">
        <v>1.0</v>
      </c>
      <c r="J172" s="11">
        <f t="shared" si="1"/>
        <v>3.68</v>
      </c>
      <c r="K172" s="5" t="s">
        <v>57</v>
      </c>
      <c r="L172" s="41">
        <v>43022.0</v>
      </c>
      <c r="M172" s="7"/>
      <c r="N172" s="7"/>
      <c r="O172" s="8" t="s">
        <v>25</v>
      </c>
      <c r="AA172" s="27"/>
      <c r="AB172" s="9"/>
      <c r="AC172" s="9"/>
      <c r="AD172" s="8"/>
    </row>
    <row r="173" ht="15.75" customHeight="1">
      <c r="B173" s="5" t="s">
        <v>60</v>
      </c>
      <c r="C173" s="5">
        <v>1.0</v>
      </c>
      <c r="D173" s="13">
        <v>5.0</v>
      </c>
      <c r="E173" s="5">
        <v>1.0</v>
      </c>
      <c r="F173" s="11">
        <v>890.0</v>
      </c>
      <c r="G173" s="20">
        <v>250.0</v>
      </c>
      <c r="H173" s="5">
        <v>1.0</v>
      </c>
      <c r="I173" s="5">
        <v>1.0</v>
      </c>
      <c r="J173" s="11">
        <f t="shared" si="1"/>
        <v>8.9</v>
      </c>
      <c r="K173" s="5" t="s">
        <v>57</v>
      </c>
      <c r="L173" s="41">
        <v>43022.0</v>
      </c>
      <c r="M173" s="7"/>
      <c r="N173" s="7"/>
      <c r="O173" s="8" t="s">
        <v>25</v>
      </c>
      <c r="AA173" s="27"/>
      <c r="AB173" s="9"/>
      <c r="AC173" s="9"/>
      <c r="AD173" s="8"/>
    </row>
    <row r="174" ht="15.75" customHeight="1">
      <c r="B174" s="5" t="s">
        <v>60</v>
      </c>
      <c r="C174" s="5">
        <v>1.0</v>
      </c>
      <c r="D174" s="13">
        <v>5.0</v>
      </c>
      <c r="E174" s="5">
        <v>2.0</v>
      </c>
      <c r="F174" s="11">
        <v>648.0</v>
      </c>
      <c r="G174" s="20">
        <v>235.0</v>
      </c>
      <c r="H174" s="5">
        <v>1.0</v>
      </c>
      <c r="I174" s="5">
        <v>1.0</v>
      </c>
      <c r="J174" s="11">
        <f t="shared" si="1"/>
        <v>6.48</v>
      </c>
      <c r="L174" s="41">
        <v>43022.0</v>
      </c>
      <c r="M174" s="7"/>
      <c r="N174" s="7"/>
      <c r="O174" s="8" t="s">
        <v>25</v>
      </c>
      <c r="AA174" s="27"/>
      <c r="AB174" s="9"/>
      <c r="AC174" s="9"/>
      <c r="AD174" s="8"/>
    </row>
    <row r="175" ht="15.75" customHeight="1">
      <c r="B175" s="5" t="s">
        <v>60</v>
      </c>
      <c r="C175" s="5">
        <v>1.0</v>
      </c>
      <c r="D175" s="5">
        <v>8.0</v>
      </c>
      <c r="E175" s="5">
        <v>1.0</v>
      </c>
      <c r="F175" s="11">
        <v>480.0</v>
      </c>
      <c r="G175" s="20">
        <v>140.0</v>
      </c>
      <c r="H175" s="5">
        <v>5.0</v>
      </c>
      <c r="I175" s="5">
        <v>1.0</v>
      </c>
      <c r="J175" s="11">
        <f t="shared" si="1"/>
        <v>4.8</v>
      </c>
      <c r="K175" s="5" t="s">
        <v>57</v>
      </c>
      <c r="L175" s="41">
        <v>43022.0</v>
      </c>
      <c r="M175" s="7"/>
      <c r="N175" s="7"/>
      <c r="O175" s="8" t="s">
        <v>25</v>
      </c>
      <c r="AA175" s="27"/>
      <c r="AB175" s="9"/>
      <c r="AC175" s="9"/>
      <c r="AD175" s="8"/>
    </row>
    <row r="176" ht="15.75" customHeight="1">
      <c r="B176" s="5" t="s">
        <v>60</v>
      </c>
      <c r="C176" s="5">
        <v>1.0</v>
      </c>
      <c r="D176" s="5">
        <v>8.0</v>
      </c>
      <c r="E176" s="5">
        <v>1.0</v>
      </c>
      <c r="F176" s="11">
        <v>536.0</v>
      </c>
      <c r="G176" s="20">
        <v>100.0</v>
      </c>
      <c r="H176" s="5">
        <v>2.0</v>
      </c>
      <c r="I176" s="5">
        <v>5.0</v>
      </c>
      <c r="J176" s="11">
        <f t="shared" si="1"/>
        <v>5.36</v>
      </c>
      <c r="K176" s="41"/>
      <c r="L176" s="41">
        <v>43022.0</v>
      </c>
      <c r="M176" s="7"/>
      <c r="N176" s="7"/>
      <c r="O176" s="8" t="s">
        <v>25</v>
      </c>
      <c r="AA176" s="27"/>
      <c r="AB176" s="7"/>
      <c r="AC176" s="7"/>
      <c r="AD176" s="8"/>
    </row>
    <row r="177" ht="15.75" customHeight="1">
      <c r="B177" s="5" t="s">
        <v>60</v>
      </c>
      <c r="C177" s="5">
        <v>1.0</v>
      </c>
      <c r="D177" s="5">
        <v>8.0</v>
      </c>
      <c r="E177" s="5">
        <v>2.0</v>
      </c>
      <c r="F177" s="11">
        <v>348.0</v>
      </c>
      <c r="G177" s="20">
        <v>70.0</v>
      </c>
      <c r="H177" s="5">
        <v>5.0</v>
      </c>
      <c r="I177" s="5">
        <v>5.0</v>
      </c>
      <c r="J177" s="11">
        <f t="shared" si="1"/>
        <v>3.48</v>
      </c>
      <c r="L177" s="41">
        <v>43022.0</v>
      </c>
      <c r="M177" s="7"/>
      <c r="N177" s="7"/>
      <c r="O177" s="8" t="s">
        <v>25</v>
      </c>
      <c r="AA177" s="27"/>
      <c r="AB177" s="7"/>
      <c r="AC177" s="7"/>
      <c r="AD177" s="8"/>
    </row>
    <row r="178" ht="15.75" customHeight="1">
      <c r="D178" s="13">
        <v>6.0</v>
      </c>
      <c r="F178" s="11"/>
      <c r="G178" s="20"/>
      <c r="J178" s="11">
        <f t="shared" si="1"/>
        <v>0</v>
      </c>
      <c r="L178" s="41">
        <v>43022.0</v>
      </c>
      <c r="M178" s="7"/>
      <c r="N178" s="7"/>
      <c r="O178" s="8" t="s">
        <v>25</v>
      </c>
    </row>
    <row r="179" ht="15.75" customHeight="1">
      <c r="B179" s="5" t="s">
        <v>60</v>
      </c>
      <c r="C179" s="5">
        <v>1.0</v>
      </c>
      <c r="D179" s="5">
        <v>11.0</v>
      </c>
      <c r="E179" s="5">
        <v>2.0</v>
      </c>
      <c r="F179" s="11">
        <v>301.0</v>
      </c>
      <c r="G179" s="20">
        <v>550.0</v>
      </c>
      <c r="H179" s="5">
        <v>2.0</v>
      </c>
      <c r="I179" s="5">
        <v>1.0</v>
      </c>
      <c r="J179" s="11">
        <f t="shared" si="1"/>
        <v>3.01</v>
      </c>
      <c r="L179" s="41">
        <v>43022.0</v>
      </c>
      <c r="M179" s="9"/>
      <c r="N179" s="9"/>
      <c r="O179" s="8" t="s">
        <v>25</v>
      </c>
    </row>
    <row r="180" ht="15.75" customHeight="1">
      <c r="B180" s="5" t="s">
        <v>60</v>
      </c>
      <c r="C180" s="5">
        <v>1.0</v>
      </c>
      <c r="D180" s="5">
        <v>11.0</v>
      </c>
      <c r="E180" s="5">
        <v>1.0</v>
      </c>
      <c r="F180" s="11">
        <v>730.0</v>
      </c>
      <c r="G180" s="20">
        <v>130.0</v>
      </c>
      <c r="H180" s="5">
        <v>2.0</v>
      </c>
      <c r="I180" s="5">
        <v>1.0</v>
      </c>
      <c r="J180" s="11">
        <f t="shared" si="1"/>
        <v>7.3</v>
      </c>
      <c r="K180" s="5" t="s">
        <v>57</v>
      </c>
      <c r="L180" s="41">
        <v>43022.0</v>
      </c>
      <c r="M180" s="9"/>
      <c r="N180" s="9"/>
      <c r="O180" s="8" t="s">
        <v>25</v>
      </c>
    </row>
    <row r="181" ht="15.75" customHeight="1">
      <c r="B181" s="5" t="s">
        <v>60</v>
      </c>
      <c r="C181" s="5">
        <v>1.0</v>
      </c>
      <c r="D181" s="5">
        <v>11.0</v>
      </c>
      <c r="E181" s="5">
        <v>1.0</v>
      </c>
      <c r="F181" s="11">
        <v>730.0</v>
      </c>
      <c r="G181" s="20">
        <v>132.0</v>
      </c>
      <c r="H181" s="5">
        <v>2.0</v>
      </c>
      <c r="I181" s="5">
        <v>1.0</v>
      </c>
      <c r="J181" s="11">
        <f t="shared" si="1"/>
        <v>7.3</v>
      </c>
      <c r="L181" s="41">
        <v>43022.0</v>
      </c>
      <c r="M181" s="9"/>
      <c r="N181" s="9"/>
      <c r="O181" s="8" t="s">
        <v>25</v>
      </c>
    </row>
    <row r="182" ht="15.75" customHeight="1">
      <c r="B182" s="5" t="s">
        <v>60</v>
      </c>
      <c r="C182" s="5">
        <v>1.0</v>
      </c>
      <c r="D182" s="5">
        <v>12.0</v>
      </c>
      <c r="E182" s="5">
        <v>2.0</v>
      </c>
      <c r="F182" s="11">
        <v>323.0</v>
      </c>
      <c r="G182" s="20">
        <v>195.0</v>
      </c>
      <c r="H182" s="5">
        <v>5.0</v>
      </c>
      <c r="I182" s="5">
        <v>5.0</v>
      </c>
      <c r="J182" s="11">
        <f t="shared" si="1"/>
        <v>3.23</v>
      </c>
      <c r="L182" s="41">
        <v>43022.0</v>
      </c>
      <c r="M182" s="7"/>
      <c r="N182" s="7"/>
      <c r="O182" s="8" t="s">
        <v>25</v>
      </c>
    </row>
    <row r="183" ht="15.75" customHeight="1">
      <c r="B183" s="22"/>
      <c r="C183" s="22"/>
      <c r="D183" s="35">
        <v>1.0</v>
      </c>
      <c r="E183" s="22"/>
      <c r="F183" s="22"/>
      <c r="G183" s="48"/>
      <c r="H183" s="22"/>
      <c r="I183" s="22"/>
      <c r="J183" s="11">
        <f t="shared" si="1"/>
        <v>0</v>
      </c>
      <c r="K183" s="22"/>
      <c r="L183" s="23">
        <v>43022.0</v>
      </c>
      <c r="M183" s="33"/>
      <c r="N183" s="33"/>
      <c r="O183" s="25" t="s">
        <v>25</v>
      </c>
      <c r="P183" s="22"/>
      <c r="Q183" s="22"/>
    </row>
    <row r="184" ht="15.75" customHeight="1">
      <c r="B184" s="5" t="s">
        <v>60</v>
      </c>
      <c r="C184" s="5">
        <v>1.0</v>
      </c>
      <c r="D184" s="5">
        <v>7.0</v>
      </c>
      <c r="E184" s="5">
        <v>2.0</v>
      </c>
      <c r="F184" s="11">
        <v>541.0</v>
      </c>
      <c r="G184" s="20">
        <v>60.0</v>
      </c>
      <c r="H184" s="5">
        <v>2.0</v>
      </c>
      <c r="I184" s="5">
        <v>1.0</v>
      </c>
      <c r="J184" s="11">
        <f t="shared" si="1"/>
        <v>5.41</v>
      </c>
      <c r="L184" s="27">
        <v>43064.0</v>
      </c>
      <c r="M184" s="7"/>
      <c r="N184" s="7"/>
      <c r="O184" s="8" t="s">
        <v>25</v>
      </c>
    </row>
    <row r="185" ht="15.75" customHeight="1">
      <c r="D185" s="13">
        <v>4.0</v>
      </c>
      <c r="F185" s="11"/>
      <c r="G185" s="20"/>
      <c r="J185" s="11">
        <f t="shared" si="1"/>
        <v>0</v>
      </c>
      <c r="L185" s="27">
        <v>43064.0</v>
      </c>
      <c r="M185" s="9"/>
      <c r="N185" s="9"/>
      <c r="O185" s="8" t="s">
        <v>25</v>
      </c>
      <c r="P185" s="5" t="s">
        <v>63</v>
      </c>
    </row>
    <row r="186" ht="15.75" customHeight="1">
      <c r="D186" s="13">
        <v>3.0</v>
      </c>
      <c r="F186" s="11"/>
      <c r="G186" s="20"/>
      <c r="J186" s="11">
        <f t="shared" si="1"/>
        <v>0</v>
      </c>
      <c r="L186" s="27">
        <v>43064.0</v>
      </c>
      <c r="M186" s="7"/>
      <c r="N186" s="7"/>
      <c r="O186" s="8" t="s">
        <v>25</v>
      </c>
    </row>
    <row r="187" ht="15.75" customHeight="1">
      <c r="D187" s="5">
        <v>9.0</v>
      </c>
      <c r="F187" s="11"/>
      <c r="G187" s="20"/>
      <c r="J187" s="11">
        <f t="shared" si="1"/>
        <v>0</v>
      </c>
      <c r="L187" s="27">
        <v>43064.0</v>
      </c>
      <c r="M187" s="7"/>
      <c r="N187" s="7"/>
      <c r="O187" s="8" t="s">
        <v>25</v>
      </c>
    </row>
    <row r="188" ht="15.75" customHeight="1">
      <c r="B188" s="5" t="s">
        <v>60</v>
      </c>
      <c r="C188" s="5">
        <v>1.0</v>
      </c>
      <c r="D188" s="5">
        <v>10.0</v>
      </c>
      <c r="E188" s="5">
        <v>2.0</v>
      </c>
      <c r="F188" s="11">
        <v>396.0</v>
      </c>
      <c r="G188" s="20">
        <v>500.0</v>
      </c>
      <c r="H188" s="5">
        <v>2.0</v>
      </c>
      <c r="I188" s="5">
        <v>5.0</v>
      </c>
      <c r="J188" s="11">
        <f t="shared" si="1"/>
        <v>3.96</v>
      </c>
      <c r="L188" s="27">
        <v>43064.0</v>
      </c>
      <c r="M188" s="7"/>
      <c r="N188" s="7"/>
      <c r="O188" s="8" t="s">
        <v>25</v>
      </c>
    </row>
    <row r="189" ht="15.75" customHeight="1">
      <c r="B189" s="5" t="s">
        <v>60</v>
      </c>
      <c r="C189" s="5">
        <v>1.0</v>
      </c>
      <c r="D189" s="5">
        <v>10.0</v>
      </c>
      <c r="E189" s="5">
        <v>2.0</v>
      </c>
      <c r="F189" s="11">
        <v>396.0</v>
      </c>
      <c r="G189" s="20">
        <v>500.0</v>
      </c>
      <c r="H189" s="5">
        <v>2.0</v>
      </c>
      <c r="I189" s="5">
        <v>5.0</v>
      </c>
      <c r="J189" s="11">
        <f t="shared" si="1"/>
        <v>3.96</v>
      </c>
      <c r="L189" s="27">
        <v>43064.0</v>
      </c>
      <c r="M189" s="7"/>
      <c r="N189" s="7"/>
      <c r="O189" s="8" t="s">
        <v>25</v>
      </c>
    </row>
    <row r="190" ht="15.75" customHeight="1">
      <c r="D190" s="13">
        <v>2.0</v>
      </c>
      <c r="F190" s="11"/>
      <c r="G190" s="20"/>
      <c r="J190" s="11">
        <f t="shared" si="1"/>
        <v>0</v>
      </c>
      <c r="L190" s="27">
        <v>43064.0</v>
      </c>
      <c r="M190" s="7"/>
      <c r="N190" s="7"/>
      <c r="O190" s="8" t="s">
        <v>25</v>
      </c>
    </row>
    <row r="191" ht="15.75" customHeight="1">
      <c r="B191" s="5" t="s">
        <v>60</v>
      </c>
      <c r="C191" s="5">
        <v>1.0</v>
      </c>
      <c r="D191" s="13">
        <v>5.0</v>
      </c>
      <c r="E191" s="5">
        <v>1.0</v>
      </c>
      <c r="F191" s="11">
        <v>572.0</v>
      </c>
      <c r="G191" s="20">
        <v>260.0</v>
      </c>
      <c r="H191" s="5">
        <v>1.0</v>
      </c>
      <c r="I191" s="5">
        <v>1.0</v>
      </c>
      <c r="J191" s="11">
        <f t="shared" si="1"/>
        <v>5.72</v>
      </c>
      <c r="K191" s="5" t="s">
        <v>57</v>
      </c>
      <c r="L191" s="27">
        <v>43064.0</v>
      </c>
      <c r="M191" s="7"/>
      <c r="N191" s="7"/>
      <c r="O191" s="8" t="s">
        <v>25</v>
      </c>
    </row>
    <row r="192" ht="15.75" customHeight="1">
      <c r="B192" s="5" t="s">
        <v>60</v>
      </c>
      <c r="C192" s="5">
        <v>1.0</v>
      </c>
      <c r="D192" s="5">
        <v>8.0</v>
      </c>
      <c r="E192" s="5">
        <v>2.0</v>
      </c>
      <c r="F192" s="11">
        <v>297.0</v>
      </c>
      <c r="G192" s="20">
        <v>110.0</v>
      </c>
      <c r="H192" s="5">
        <v>2.0</v>
      </c>
      <c r="I192" s="5">
        <v>1.0</v>
      </c>
      <c r="J192" s="11">
        <f t="shared" si="1"/>
        <v>2.97</v>
      </c>
      <c r="L192" s="27">
        <v>43064.0</v>
      </c>
      <c r="M192" s="7"/>
      <c r="N192" s="7"/>
      <c r="O192" s="8" t="s">
        <v>25</v>
      </c>
      <c r="P192" s="8" t="s">
        <v>64</v>
      </c>
      <c r="Q192" s="8"/>
    </row>
    <row r="193" ht="15.75" customHeight="1">
      <c r="B193" s="5" t="s">
        <v>60</v>
      </c>
      <c r="C193" s="5">
        <v>1.0</v>
      </c>
      <c r="D193" s="5">
        <v>8.0</v>
      </c>
      <c r="E193" s="5">
        <v>2.0</v>
      </c>
      <c r="F193" s="11">
        <v>246.0</v>
      </c>
      <c r="G193" s="20">
        <v>151.0</v>
      </c>
      <c r="H193" s="5">
        <v>2.0</v>
      </c>
      <c r="I193" s="5">
        <v>1.0</v>
      </c>
      <c r="J193" s="11">
        <f t="shared" si="1"/>
        <v>2.46</v>
      </c>
      <c r="L193" s="27">
        <v>43064.0</v>
      </c>
      <c r="M193" s="7"/>
      <c r="N193" s="7"/>
      <c r="O193" s="8" t="s">
        <v>25</v>
      </c>
      <c r="P193" s="8" t="s">
        <v>64</v>
      </c>
      <c r="Q193" s="8"/>
    </row>
    <row r="194" ht="15.75" customHeight="1">
      <c r="B194" s="5" t="s">
        <v>60</v>
      </c>
      <c r="C194" s="5">
        <v>1.0</v>
      </c>
      <c r="D194" s="5">
        <v>8.0</v>
      </c>
      <c r="E194" s="5">
        <v>2.0</v>
      </c>
      <c r="F194" s="11">
        <v>189.0</v>
      </c>
      <c r="G194" s="20">
        <v>66.0</v>
      </c>
      <c r="H194" s="5">
        <v>2.0</v>
      </c>
      <c r="I194" s="5">
        <v>1.0</v>
      </c>
      <c r="J194" s="11">
        <f t="shared" si="1"/>
        <v>1.89</v>
      </c>
      <c r="L194" s="27">
        <v>43064.0</v>
      </c>
      <c r="M194" s="7"/>
      <c r="N194" s="7"/>
      <c r="O194" s="8" t="s">
        <v>25</v>
      </c>
      <c r="P194" s="8" t="s">
        <v>64</v>
      </c>
      <c r="Q194" s="8"/>
    </row>
    <row r="195" ht="15.75" customHeight="1">
      <c r="B195" s="5" t="s">
        <v>60</v>
      </c>
      <c r="C195" s="5">
        <v>1.0</v>
      </c>
      <c r="D195" s="5">
        <v>8.0</v>
      </c>
      <c r="E195" s="5">
        <v>2.0</v>
      </c>
      <c r="F195" s="11">
        <v>221.0</v>
      </c>
      <c r="G195" s="20">
        <v>200.0</v>
      </c>
      <c r="H195" s="5">
        <v>2.0</v>
      </c>
      <c r="I195" s="5">
        <v>1.0</v>
      </c>
      <c r="J195" s="11">
        <f t="shared" si="1"/>
        <v>2.21</v>
      </c>
      <c r="L195" s="27">
        <v>43064.0</v>
      </c>
      <c r="M195" s="7"/>
      <c r="N195" s="7"/>
      <c r="O195" s="8" t="s">
        <v>25</v>
      </c>
      <c r="P195" s="8" t="s">
        <v>64</v>
      </c>
      <c r="Q195" s="8"/>
    </row>
    <row r="196" ht="15.75" customHeight="1">
      <c r="B196" s="5" t="s">
        <v>60</v>
      </c>
      <c r="C196" s="5">
        <v>1.0</v>
      </c>
      <c r="D196" s="5">
        <v>8.0</v>
      </c>
      <c r="E196" s="5">
        <v>1.0</v>
      </c>
      <c r="F196" s="11">
        <v>248.0</v>
      </c>
      <c r="G196" s="20">
        <v>170.0</v>
      </c>
      <c r="H196" s="5">
        <v>2.0</v>
      </c>
      <c r="I196" s="5">
        <v>5.0</v>
      </c>
      <c r="J196" s="11">
        <f t="shared" si="1"/>
        <v>2.48</v>
      </c>
      <c r="L196" s="27">
        <v>43064.0</v>
      </c>
      <c r="M196" s="7"/>
      <c r="N196" s="7"/>
      <c r="O196" s="8" t="s">
        <v>25</v>
      </c>
      <c r="P196" s="8" t="s">
        <v>64</v>
      </c>
      <c r="Q196" s="8"/>
    </row>
    <row r="197" ht="15.75" customHeight="1">
      <c r="B197" s="5" t="s">
        <v>60</v>
      </c>
      <c r="C197" s="5">
        <v>1.0</v>
      </c>
      <c r="D197" s="5">
        <v>8.0</v>
      </c>
      <c r="E197" s="5">
        <v>2.0</v>
      </c>
      <c r="F197" s="11">
        <v>231.0</v>
      </c>
      <c r="G197" s="20">
        <v>195.0</v>
      </c>
      <c r="H197" s="5">
        <v>2.0</v>
      </c>
      <c r="I197" s="5">
        <v>1.0</v>
      </c>
      <c r="J197" s="11">
        <f t="shared" si="1"/>
        <v>2.31</v>
      </c>
      <c r="L197" s="27">
        <v>43064.0</v>
      </c>
      <c r="M197" s="7"/>
      <c r="N197" s="7"/>
      <c r="O197" s="8" t="s">
        <v>25</v>
      </c>
      <c r="P197" s="8" t="s">
        <v>64</v>
      </c>
      <c r="Q197" s="8"/>
    </row>
    <row r="198" ht="15.75" customHeight="1">
      <c r="B198" s="5" t="s">
        <v>60</v>
      </c>
      <c r="C198" s="5">
        <v>1.0</v>
      </c>
      <c r="D198" s="5">
        <v>8.0</v>
      </c>
      <c r="E198" s="5">
        <v>2.0</v>
      </c>
      <c r="F198" s="11">
        <v>205.0</v>
      </c>
      <c r="G198" s="20">
        <v>216.0</v>
      </c>
      <c r="H198" s="5">
        <v>2.0</v>
      </c>
      <c r="I198" s="5">
        <v>1.0</v>
      </c>
      <c r="J198" s="11">
        <f t="shared" si="1"/>
        <v>2.05</v>
      </c>
      <c r="L198" s="27">
        <v>43064.0</v>
      </c>
      <c r="M198" s="7"/>
      <c r="N198" s="7"/>
      <c r="O198" s="8" t="s">
        <v>25</v>
      </c>
      <c r="P198" s="8" t="s">
        <v>64</v>
      </c>
      <c r="Q198" s="8"/>
    </row>
    <row r="199" ht="15.75" customHeight="1">
      <c r="D199" s="13">
        <v>6.0</v>
      </c>
      <c r="F199" s="11"/>
      <c r="G199" s="20"/>
      <c r="J199" s="11">
        <f t="shared" si="1"/>
        <v>0</v>
      </c>
      <c r="L199" s="27">
        <v>43064.0</v>
      </c>
      <c r="M199" s="9"/>
      <c r="N199" s="9"/>
      <c r="O199" s="8" t="s">
        <v>25</v>
      </c>
    </row>
    <row r="200" ht="15.75" customHeight="1">
      <c r="D200" s="5">
        <v>11.0</v>
      </c>
      <c r="F200" s="11"/>
      <c r="G200" s="20"/>
      <c r="J200" s="11">
        <f t="shared" si="1"/>
        <v>0</v>
      </c>
      <c r="L200" s="27">
        <v>43064.0</v>
      </c>
      <c r="M200" s="7"/>
      <c r="N200" s="7"/>
      <c r="O200" s="8" t="s">
        <v>25</v>
      </c>
    </row>
    <row r="201" ht="15.75" customHeight="1">
      <c r="D201" s="5">
        <v>12.0</v>
      </c>
      <c r="F201" s="11"/>
      <c r="G201" s="20"/>
      <c r="J201" s="11">
        <f t="shared" si="1"/>
        <v>0</v>
      </c>
      <c r="L201" s="27">
        <v>43064.0</v>
      </c>
      <c r="M201" s="7"/>
      <c r="N201" s="7"/>
      <c r="O201" s="8" t="s">
        <v>25</v>
      </c>
      <c r="P201" s="8"/>
      <c r="Q201" s="8"/>
    </row>
    <row r="202" ht="15.75" customHeight="1">
      <c r="B202" s="22"/>
      <c r="C202" s="22"/>
      <c r="D202" s="35">
        <v>1.0</v>
      </c>
      <c r="E202" s="22"/>
      <c r="F202" s="22"/>
      <c r="G202" s="48"/>
      <c r="H202" s="22"/>
      <c r="I202" s="22"/>
      <c r="J202" s="11">
        <f t="shared" si="1"/>
        <v>0</v>
      </c>
      <c r="K202" s="22"/>
      <c r="L202" s="29">
        <v>43064.0</v>
      </c>
      <c r="M202" s="24"/>
      <c r="N202" s="24"/>
      <c r="O202" s="25" t="s">
        <v>25</v>
      </c>
      <c r="P202" s="8" t="s">
        <v>78</v>
      </c>
      <c r="Q202" s="8"/>
    </row>
    <row r="203" ht="15.75" customHeight="1">
      <c r="B203" s="5" t="s">
        <v>60</v>
      </c>
      <c r="C203" s="5">
        <v>1.0</v>
      </c>
      <c r="D203" s="5">
        <v>12.0</v>
      </c>
      <c r="E203" s="5">
        <v>2.0</v>
      </c>
      <c r="F203" s="11">
        <v>210.0</v>
      </c>
      <c r="G203" s="20">
        <v>170.0</v>
      </c>
      <c r="H203" s="5">
        <v>5.0</v>
      </c>
      <c r="I203" s="5">
        <v>1.0</v>
      </c>
      <c r="J203" s="11">
        <f t="shared" si="1"/>
        <v>2.1</v>
      </c>
      <c r="L203" s="27">
        <v>43078.0</v>
      </c>
      <c r="M203" s="9"/>
      <c r="N203" s="9"/>
      <c r="O203" s="8" t="s">
        <v>25</v>
      </c>
      <c r="P203" s="5" t="s">
        <v>63</v>
      </c>
    </row>
    <row r="204" ht="15.75" customHeight="1">
      <c r="B204" s="5" t="s">
        <v>60</v>
      </c>
      <c r="C204" s="5">
        <v>1.0</v>
      </c>
      <c r="D204" s="5">
        <v>12.0</v>
      </c>
      <c r="E204" s="5">
        <v>2.0</v>
      </c>
      <c r="F204" s="11">
        <v>210.0</v>
      </c>
      <c r="G204" s="20">
        <v>170.0</v>
      </c>
      <c r="H204" s="5">
        <v>5.0</v>
      </c>
      <c r="I204" s="5">
        <v>1.0</v>
      </c>
      <c r="J204" s="11">
        <f t="shared" si="1"/>
        <v>2.1</v>
      </c>
      <c r="L204" s="27">
        <v>43078.0</v>
      </c>
      <c r="M204" s="9"/>
      <c r="N204" s="9"/>
      <c r="O204" s="8" t="s">
        <v>25</v>
      </c>
      <c r="P204" s="5" t="s">
        <v>63</v>
      </c>
    </row>
    <row r="205" ht="15.75" customHeight="1">
      <c r="B205" s="5" t="s">
        <v>60</v>
      </c>
      <c r="C205" s="5">
        <v>1.0</v>
      </c>
      <c r="D205" s="5">
        <v>12.0</v>
      </c>
      <c r="E205" s="5">
        <v>2.0</v>
      </c>
      <c r="F205" s="11">
        <v>240.0</v>
      </c>
      <c r="G205" s="20">
        <v>170.0</v>
      </c>
      <c r="H205" s="5">
        <v>5.0</v>
      </c>
      <c r="I205" s="5">
        <v>1.0</v>
      </c>
      <c r="J205" s="11">
        <f t="shared" si="1"/>
        <v>2.4</v>
      </c>
      <c r="L205" s="27">
        <v>43078.0</v>
      </c>
      <c r="M205" s="9"/>
      <c r="N205" s="9"/>
      <c r="O205" s="8" t="s">
        <v>25</v>
      </c>
      <c r="P205" s="5" t="s">
        <v>63</v>
      </c>
    </row>
    <row r="206" ht="15.75" customHeight="1">
      <c r="B206" s="5" t="s">
        <v>60</v>
      </c>
      <c r="C206" s="5">
        <v>1.0</v>
      </c>
      <c r="D206" s="5">
        <v>12.0</v>
      </c>
      <c r="E206" s="5">
        <v>1.0</v>
      </c>
      <c r="F206" s="11">
        <v>350.0</v>
      </c>
      <c r="G206" s="20">
        <v>140.0</v>
      </c>
      <c r="H206" s="5">
        <v>5.0</v>
      </c>
      <c r="I206" s="5">
        <v>1.0</v>
      </c>
      <c r="J206" s="11">
        <f t="shared" si="1"/>
        <v>3.5</v>
      </c>
      <c r="L206" s="27">
        <v>43078.0</v>
      </c>
      <c r="M206" s="9"/>
      <c r="N206" s="9"/>
      <c r="O206" s="8" t="s">
        <v>25</v>
      </c>
      <c r="P206" s="5" t="s">
        <v>63</v>
      </c>
    </row>
    <row r="207" ht="15.75" customHeight="1">
      <c r="B207" s="5" t="s">
        <v>60</v>
      </c>
      <c r="C207" s="5">
        <v>1.0</v>
      </c>
      <c r="D207" s="5">
        <v>12.0</v>
      </c>
      <c r="E207" s="5">
        <v>1.0</v>
      </c>
      <c r="F207" s="11">
        <v>280.0</v>
      </c>
      <c r="G207" s="20">
        <v>140.0</v>
      </c>
      <c r="H207" s="5">
        <v>5.0</v>
      </c>
      <c r="I207" s="5">
        <v>1.0</v>
      </c>
      <c r="J207" s="11">
        <f t="shared" si="1"/>
        <v>2.8</v>
      </c>
      <c r="L207" s="27">
        <v>43078.0</v>
      </c>
      <c r="M207" s="9"/>
      <c r="N207" s="9"/>
      <c r="O207" s="8" t="s">
        <v>25</v>
      </c>
      <c r="P207" s="5" t="s">
        <v>63</v>
      </c>
    </row>
    <row r="208" ht="15.75" customHeight="1">
      <c r="D208" s="13">
        <v>1.0</v>
      </c>
      <c r="F208" s="11"/>
      <c r="G208" s="20"/>
      <c r="J208" s="11">
        <f t="shared" si="1"/>
        <v>0</v>
      </c>
      <c r="L208" s="34">
        <v>43078.0</v>
      </c>
      <c r="M208" s="9"/>
      <c r="N208" s="9"/>
      <c r="O208" s="8" t="s">
        <v>25</v>
      </c>
      <c r="P208" s="5" t="s">
        <v>63</v>
      </c>
    </row>
    <row r="209" ht="15.75" customHeight="1">
      <c r="D209" s="5">
        <v>7.0</v>
      </c>
      <c r="F209" s="11"/>
      <c r="G209" s="20"/>
      <c r="J209" s="11">
        <f t="shared" si="1"/>
        <v>0</v>
      </c>
      <c r="L209" s="34">
        <v>43078.0</v>
      </c>
      <c r="M209" s="9"/>
      <c r="N209" s="9"/>
      <c r="O209" s="8" t="s">
        <v>70</v>
      </c>
    </row>
    <row r="210" ht="15.75" customHeight="1">
      <c r="D210" s="13">
        <v>4.0</v>
      </c>
      <c r="F210" s="11"/>
      <c r="G210" s="20"/>
      <c r="J210" s="11">
        <f t="shared" si="1"/>
        <v>0</v>
      </c>
      <c r="L210" s="34">
        <v>43078.0</v>
      </c>
      <c r="M210" s="9"/>
      <c r="N210" s="9"/>
      <c r="O210" s="8" t="s">
        <v>70</v>
      </c>
    </row>
    <row r="211" ht="15.75" customHeight="1">
      <c r="B211" s="5" t="s">
        <v>60</v>
      </c>
      <c r="C211" s="5">
        <v>1.0</v>
      </c>
      <c r="D211" s="13">
        <v>3.0</v>
      </c>
      <c r="E211" s="5">
        <v>1.0</v>
      </c>
      <c r="F211" s="11">
        <v>1130.0</v>
      </c>
      <c r="G211" s="20">
        <v>55.0</v>
      </c>
      <c r="H211" s="5">
        <v>5.0</v>
      </c>
      <c r="I211" s="5">
        <v>1.0</v>
      </c>
      <c r="J211" s="11">
        <f t="shared" si="1"/>
        <v>11.3</v>
      </c>
      <c r="K211" s="5" t="s">
        <v>55</v>
      </c>
      <c r="L211" s="34">
        <v>43078.0</v>
      </c>
      <c r="M211" s="9"/>
      <c r="N211" s="9"/>
      <c r="O211" s="8" t="s">
        <v>25</v>
      </c>
    </row>
    <row r="212" ht="15.75" customHeight="1">
      <c r="B212" s="5" t="s">
        <v>60</v>
      </c>
      <c r="C212" s="5">
        <v>1.0</v>
      </c>
      <c r="D212" s="13">
        <v>3.0</v>
      </c>
      <c r="E212" s="5">
        <v>1.0</v>
      </c>
      <c r="F212" s="11">
        <v>1130.0</v>
      </c>
      <c r="G212" s="20">
        <v>55.0</v>
      </c>
      <c r="H212" s="5">
        <v>5.0</v>
      </c>
      <c r="I212" s="5">
        <v>1.0</v>
      </c>
      <c r="J212" s="11">
        <f t="shared" si="1"/>
        <v>11.3</v>
      </c>
      <c r="K212" s="5" t="s">
        <v>55</v>
      </c>
      <c r="L212" s="34">
        <v>43078.0</v>
      </c>
      <c r="M212" s="9"/>
      <c r="N212" s="9"/>
      <c r="O212" s="8" t="s">
        <v>25</v>
      </c>
    </row>
    <row r="213" ht="15.75" customHeight="1">
      <c r="B213" s="5" t="s">
        <v>60</v>
      </c>
      <c r="C213" s="5">
        <v>1.0</v>
      </c>
      <c r="D213" s="13">
        <v>3.0</v>
      </c>
      <c r="E213" s="5">
        <v>1.0</v>
      </c>
      <c r="F213" s="11">
        <v>1130.0</v>
      </c>
      <c r="G213" s="20">
        <v>55.0</v>
      </c>
      <c r="H213" s="5">
        <v>5.0</v>
      </c>
      <c r="I213" s="5">
        <v>1.0</v>
      </c>
      <c r="J213" s="11">
        <f t="shared" si="1"/>
        <v>11.3</v>
      </c>
      <c r="K213" s="5" t="s">
        <v>57</v>
      </c>
      <c r="L213" s="34">
        <v>43078.0</v>
      </c>
      <c r="M213" s="9"/>
      <c r="N213" s="9"/>
      <c r="O213" s="8" t="s">
        <v>25</v>
      </c>
    </row>
    <row r="214" ht="15.75" customHeight="1">
      <c r="D214" s="5">
        <v>9.0</v>
      </c>
      <c r="F214" s="11"/>
      <c r="G214" s="20"/>
      <c r="J214" s="11">
        <f t="shared" si="1"/>
        <v>0</v>
      </c>
      <c r="L214" s="34">
        <v>43078.0</v>
      </c>
      <c r="M214" s="9"/>
      <c r="N214" s="9"/>
      <c r="O214" s="8" t="s">
        <v>25</v>
      </c>
      <c r="P214" s="5" t="s">
        <v>63</v>
      </c>
    </row>
    <row r="215" ht="15.75" customHeight="1">
      <c r="D215" s="5">
        <v>10.0</v>
      </c>
      <c r="F215" s="11"/>
      <c r="G215" s="20"/>
      <c r="J215" s="11">
        <f t="shared" si="1"/>
        <v>0</v>
      </c>
      <c r="L215" s="27">
        <v>43078.0</v>
      </c>
      <c r="M215" s="7"/>
      <c r="N215" s="7"/>
      <c r="O215" s="8" t="s">
        <v>25</v>
      </c>
    </row>
    <row r="216" ht="15.75" customHeight="1">
      <c r="B216" s="5" t="s">
        <v>60</v>
      </c>
      <c r="C216" s="5">
        <v>1.0</v>
      </c>
      <c r="D216" s="13">
        <v>2.0</v>
      </c>
      <c r="E216" s="5">
        <v>2.0</v>
      </c>
      <c r="F216" s="11">
        <v>530.0</v>
      </c>
      <c r="G216" s="20">
        <v>130.0</v>
      </c>
      <c r="H216" s="5">
        <v>5.0</v>
      </c>
      <c r="I216" s="5">
        <v>1.0</v>
      </c>
      <c r="J216" s="11">
        <f t="shared" si="1"/>
        <v>5.3</v>
      </c>
      <c r="L216" s="27">
        <v>43078.0</v>
      </c>
      <c r="M216" s="7"/>
      <c r="N216" s="7"/>
      <c r="O216" s="8" t="s">
        <v>25</v>
      </c>
    </row>
    <row r="217" ht="15.75" customHeight="1">
      <c r="B217" s="5" t="s">
        <v>60</v>
      </c>
      <c r="C217" s="5">
        <v>1.0</v>
      </c>
      <c r="D217" s="13">
        <v>2.0</v>
      </c>
      <c r="E217" s="5">
        <v>2.0</v>
      </c>
      <c r="F217" s="11">
        <v>530.0</v>
      </c>
      <c r="G217" s="20">
        <v>130.0</v>
      </c>
      <c r="H217" s="5">
        <v>5.0</v>
      </c>
      <c r="I217" s="5">
        <v>1.0</v>
      </c>
      <c r="J217" s="11">
        <f t="shared" si="1"/>
        <v>5.3</v>
      </c>
      <c r="L217" s="27">
        <v>43078.0</v>
      </c>
      <c r="M217" s="7"/>
      <c r="N217" s="7"/>
      <c r="O217" s="8" t="s">
        <v>25</v>
      </c>
    </row>
    <row r="218" ht="15.75" customHeight="1">
      <c r="B218" s="5" t="s">
        <v>60</v>
      </c>
      <c r="C218" s="5">
        <v>1.0</v>
      </c>
      <c r="D218" s="13">
        <v>2.0</v>
      </c>
      <c r="E218" s="5">
        <v>2.0</v>
      </c>
      <c r="F218" s="11">
        <v>530.0</v>
      </c>
      <c r="G218" s="20">
        <v>130.0</v>
      </c>
      <c r="H218" s="5">
        <v>5.0</v>
      </c>
      <c r="I218" s="5">
        <v>1.0</v>
      </c>
      <c r="J218" s="11">
        <f t="shared" si="1"/>
        <v>5.3</v>
      </c>
      <c r="L218" s="27">
        <v>43078.0</v>
      </c>
      <c r="M218" s="7"/>
      <c r="N218" s="7"/>
      <c r="O218" s="8" t="s">
        <v>25</v>
      </c>
    </row>
    <row r="219" ht="15.75" customHeight="1">
      <c r="B219" s="5" t="s">
        <v>60</v>
      </c>
      <c r="C219" s="5">
        <v>1.0</v>
      </c>
      <c r="D219" s="13">
        <v>2.0</v>
      </c>
      <c r="E219" s="5">
        <v>1.0</v>
      </c>
      <c r="F219" s="11">
        <v>290.0</v>
      </c>
      <c r="G219" s="20">
        <v>110.0</v>
      </c>
      <c r="H219" s="5">
        <v>5.0</v>
      </c>
      <c r="I219" s="5">
        <v>1.0</v>
      </c>
      <c r="J219" s="11">
        <f t="shared" si="1"/>
        <v>2.9</v>
      </c>
      <c r="L219" s="27">
        <v>43078.0</v>
      </c>
      <c r="M219" s="7"/>
      <c r="N219" s="7"/>
      <c r="O219" s="8" t="s">
        <v>25</v>
      </c>
    </row>
    <row r="220" ht="15.75" customHeight="1">
      <c r="D220" s="13">
        <v>5.0</v>
      </c>
      <c r="F220" s="11"/>
      <c r="G220" s="20"/>
      <c r="J220" s="11">
        <f t="shared" si="1"/>
        <v>0</v>
      </c>
      <c r="L220" s="27">
        <v>43078.0</v>
      </c>
      <c r="M220" s="7"/>
      <c r="N220" s="7"/>
      <c r="O220" s="8" t="s">
        <v>25</v>
      </c>
      <c r="P220" s="8"/>
      <c r="Q220" s="8"/>
    </row>
    <row r="221" ht="15.75" customHeight="1">
      <c r="B221" s="5" t="s">
        <v>60</v>
      </c>
      <c r="C221" s="5">
        <v>1.0</v>
      </c>
      <c r="D221" s="5">
        <v>8.0</v>
      </c>
      <c r="E221" s="5">
        <v>1.0</v>
      </c>
      <c r="F221" s="11">
        <v>180.0</v>
      </c>
      <c r="G221" s="20">
        <v>113.0</v>
      </c>
      <c r="H221" s="5">
        <v>5.0</v>
      </c>
      <c r="I221" s="5">
        <v>1.0</v>
      </c>
      <c r="J221" s="11">
        <f t="shared" si="1"/>
        <v>1.8</v>
      </c>
      <c r="K221" s="5" t="s">
        <v>57</v>
      </c>
      <c r="L221" s="27">
        <v>43078.0</v>
      </c>
      <c r="M221" s="7"/>
      <c r="N221" s="7"/>
      <c r="O221" s="8" t="s">
        <v>25</v>
      </c>
      <c r="P221" s="27" t="s">
        <v>63</v>
      </c>
      <c r="Q221" s="27"/>
    </row>
    <row r="222" ht="15.75" customHeight="1">
      <c r="B222" s="5" t="s">
        <v>60</v>
      </c>
      <c r="C222" s="5">
        <v>1.0</v>
      </c>
      <c r="D222" s="5">
        <v>8.0</v>
      </c>
      <c r="E222" s="5">
        <v>2.0</v>
      </c>
      <c r="F222" s="11">
        <v>258.0</v>
      </c>
      <c r="G222" s="20">
        <v>130.0</v>
      </c>
      <c r="H222" s="5">
        <v>5.0</v>
      </c>
      <c r="I222" s="5">
        <v>1.0</v>
      </c>
      <c r="J222" s="11">
        <f t="shared" si="1"/>
        <v>2.58</v>
      </c>
      <c r="L222" s="27">
        <v>43078.0</v>
      </c>
      <c r="M222" s="7"/>
      <c r="N222" s="7"/>
      <c r="O222" s="8" t="s">
        <v>25</v>
      </c>
      <c r="P222" s="27" t="s">
        <v>63</v>
      </c>
      <c r="Q222" s="27"/>
    </row>
    <row r="223" ht="15.75" customHeight="1">
      <c r="B223" s="5" t="s">
        <v>60</v>
      </c>
      <c r="C223" s="5">
        <v>1.0</v>
      </c>
      <c r="D223" s="5">
        <v>8.0</v>
      </c>
      <c r="E223" s="5">
        <v>1.0</v>
      </c>
      <c r="F223" s="11">
        <v>360.0</v>
      </c>
      <c r="G223" s="20">
        <v>270.0</v>
      </c>
      <c r="H223" s="5">
        <v>2.0</v>
      </c>
      <c r="I223" s="5">
        <v>1.0</v>
      </c>
      <c r="J223" s="11">
        <f t="shared" si="1"/>
        <v>3.6</v>
      </c>
      <c r="K223" s="5" t="s">
        <v>55</v>
      </c>
      <c r="L223" s="27">
        <v>43078.0</v>
      </c>
      <c r="M223" s="7"/>
      <c r="N223" s="7"/>
      <c r="O223" s="8" t="s">
        <v>25</v>
      </c>
      <c r="P223" s="27" t="s">
        <v>63</v>
      </c>
      <c r="Q223" s="27"/>
    </row>
    <row r="224" ht="15.75" customHeight="1">
      <c r="B224" s="5" t="s">
        <v>60</v>
      </c>
      <c r="C224" s="5">
        <v>1.0</v>
      </c>
      <c r="D224" s="5">
        <v>8.0</v>
      </c>
      <c r="E224" s="5">
        <v>1.0</v>
      </c>
      <c r="F224" s="11">
        <v>190.0</v>
      </c>
      <c r="G224" s="20">
        <v>80.0</v>
      </c>
      <c r="H224" s="5">
        <v>5.0</v>
      </c>
      <c r="I224" s="5">
        <v>1.0</v>
      </c>
      <c r="J224" s="11">
        <f t="shared" si="1"/>
        <v>1.9</v>
      </c>
      <c r="K224" s="5" t="s">
        <v>57</v>
      </c>
      <c r="L224" s="27">
        <v>43078.0</v>
      </c>
      <c r="M224" s="7"/>
      <c r="N224" s="7"/>
      <c r="O224" s="8" t="s">
        <v>25</v>
      </c>
      <c r="P224" s="27" t="s">
        <v>63</v>
      </c>
      <c r="Q224" s="27"/>
    </row>
    <row r="225" ht="15.75" customHeight="1">
      <c r="B225" s="5" t="s">
        <v>60</v>
      </c>
      <c r="C225" s="5">
        <v>1.0</v>
      </c>
      <c r="D225" s="5">
        <v>8.0</v>
      </c>
      <c r="E225" s="5">
        <v>1.0</v>
      </c>
      <c r="F225" s="11">
        <v>190.0</v>
      </c>
      <c r="G225" s="20">
        <v>69.0</v>
      </c>
      <c r="H225" s="5">
        <v>5.0</v>
      </c>
      <c r="I225" s="5">
        <v>1.0</v>
      </c>
      <c r="J225" s="11">
        <f t="shared" si="1"/>
        <v>1.9</v>
      </c>
      <c r="L225" s="27">
        <v>43078.0</v>
      </c>
      <c r="M225" s="7"/>
      <c r="N225" s="7"/>
      <c r="O225" s="8" t="s">
        <v>25</v>
      </c>
      <c r="P225" s="27" t="s">
        <v>63</v>
      </c>
      <c r="Q225" s="27"/>
    </row>
    <row r="226" ht="15.75" customHeight="1">
      <c r="D226" s="13">
        <v>6.0</v>
      </c>
      <c r="F226" s="11"/>
      <c r="G226" s="20"/>
      <c r="J226" s="11">
        <f t="shared" si="1"/>
        <v>0</v>
      </c>
      <c r="L226" s="27">
        <v>43078.0</v>
      </c>
      <c r="M226" s="7"/>
      <c r="N226" s="7"/>
      <c r="O226" s="8" t="s">
        <v>25</v>
      </c>
    </row>
    <row r="227" ht="15.75" customHeight="1">
      <c r="B227" s="22"/>
      <c r="C227" s="22"/>
      <c r="D227" s="22">
        <v>11.0</v>
      </c>
      <c r="E227" s="22"/>
      <c r="F227" s="22"/>
      <c r="G227" s="48"/>
      <c r="H227" s="22"/>
      <c r="I227" s="22"/>
      <c r="J227" s="11">
        <f t="shared" si="1"/>
        <v>0</v>
      </c>
      <c r="K227" s="22"/>
      <c r="L227" s="29">
        <v>43078.0</v>
      </c>
      <c r="M227" s="24"/>
      <c r="N227" s="24"/>
      <c r="O227" s="25" t="s">
        <v>25</v>
      </c>
    </row>
    <row r="228" ht="15.75" customHeight="1">
      <c r="D228" s="5">
        <v>7.0</v>
      </c>
      <c r="F228" s="11"/>
      <c r="G228" s="20"/>
      <c r="J228" s="11">
        <f t="shared" si="1"/>
        <v>0</v>
      </c>
      <c r="L228" s="27">
        <v>42748.0</v>
      </c>
      <c r="M228" s="7"/>
      <c r="N228" s="7"/>
      <c r="O228" s="8" t="s">
        <v>70</v>
      </c>
    </row>
    <row r="229" ht="15.75" customHeight="1">
      <c r="D229" s="13">
        <v>4.0</v>
      </c>
      <c r="F229" s="11"/>
      <c r="G229" s="20"/>
      <c r="J229" s="11">
        <f t="shared" si="1"/>
        <v>0</v>
      </c>
      <c r="L229" s="27">
        <v>42748.0</v>
      </c>
      <c r="M229" s="7"/>
      <c r="N229" s="7"/>
      <c r="O229" s="8" t="s">
        <v>25</v>
      </c>
    </row>
    <row r="230" ht="15.75" customHeight="1">
      <c r="B230" s="5" t="s">
        <v>60</v>
      </c>
      <c r="C230" s="5">
        <v>1.0</v>
      </c>
      <c r="D230" s="13">
        <v>3.0</v>
      </c>
      <c r="E230" s="5">
        <v>1.0</v>
      </c>
      <c r="F230" s="11">
        <v>760.0</v>
      </c>
      <c r="G230" s="20">
        <v>40.0</v>
      </c>
      <c r="H230" s="5">
        <v>5.0</v>
      </c>
      <c r="I230" s="5">
        <v>1.0</v>
      </c>
      <c r="J230" s="11">
        <f t="shared" si="1"/>
        <v>7.6</v>
      </c>
      <c r="K230" s="5" t="s">
        <v>55</v>
      </c>
      <c r="L230" s="27">
        <v>42748.0</v>
      </c>
      <c r="M230" s="7"/>
      <c r="N230" s="7"/>
      <c r="O230" s="8" t="s">
        <v>25</v>
      </c>
    </row>
    <row r="231" ht="15.75" customHeight="1">
      <c r="B231" s="5" t="s">
        <v>60</v>
      </c>
      <c r="C231" s="5">
        <v>1.0</v>
      </c>
      <c r="D231" s="13">
        <v>3.0</v>
      </c>
      <c r="E231" s="5">
        <v>2.0</v>
      </c>
      <c r="F231" s="11">
        <v>688.0</v>
      </c>
      <c r="G231" s="20">
        <v>40.0</v>
      </c>
      <c r="H231" s="5">
        <v>5.0</v>
      </c>
      <c r="I231" s="5">
        <v>1.0</v>
      </c>
      <c r="J231" s="11">
        <f t="shared" si="1"/>
        <v>6.88</v>
      </c>
      <c r="L231" s="27">
        <v>42748.0</v>
      </c>
      <c r="M231" s="7"/>
      <c r="N231" s="7"/>
      <c r="O231" s="8" t="s">
        <v>25</v>
      </c>
    </row>
    <row r="232" ht="15.75" customHeight="1">
      <c r="B232" s="5" t="s">
        <v>60</v>
      </c>
      <c r="C232" s="5">
        <v>1.0</v>
      </c>
      <c r="D232" s="5">
        <v>9.0</v>
      </c>
      <c r="E232" s="5">
        <v>1.0</v>
      </c>
      <c r="F232" s="11">
        <v>565.0</v>
      </c>
      <c r="G232" s="20">
        <v>230.0</v>
      </c>
      <c r="H232" s="5">
        <v>2.0</v>
      </c>
      <c r="I232" s="5">
        <v>5.0</v>
      </c>
      <c r="J232" s="11">
        <f t="shared" si="1"/>
        <v>5.65</v>
      </c>
      <c r="L232" s="27">
        <v>42748.0</v>
      </c>
      <c r="M232" s="7"/>
      <c r="N232" s="7"/>
      <c r="O232" s="8" t="s">
        <v>25</v>
      </c>
    </row>
    <row r="233" ht="15.75" customHeight="1">
      <c r="D233" s="5">
        <v>10.0</v>
      </c>
      <c r="F233" s="11"/>
      <c r="G233" s="20"/>
      <c r="J233" s="11">
        <f t="shared" si="1"/>
        <v>0</v>
      </c>
      <c r="L233" s="27">
        <v>42748.0</v>
      </c>
      <c r="M233" s="7"/>
      <c r="N233" s="7"/>
      <c r="O233" s="8" t="s">
        <v>25</v>
      </c>
    </row>
    <row r="234" ht="15.75" customHeight="1">
      <c r="D234" s="13">
        <v>2.0</v>
      </c>
      <c r="F234" s="11"/>
      <c r="G234" s="20"/>
      <c r="J234" s="11">
        <f t="shared" si="1"/>
        <v>0</v>
      </c>
      <c r="L234" s="27">
        <v>42748.0</v>
      </c>
      <c r="M234" s="7"/>
      <c r="N234" s="7"/>
      <c r="O234" s="8" t="s">
        <v>25</v>
      </c>
    </row>
    <row r="235" ht="15.75" customHeight="1">
      <c r="D235" s="13">
        <v>5.0</v>
      </c>
      <c r="F235" s="11"/>
      <c r="G235" s="20"/>
      <c r="J235" s="11">
        <f t="shared" si="1"/>
        <v>0</v>
      </c>
      <c r="L235" s="27">
        <v>42748.0</v>
      </c>
      <c r="M235" s="7"/>
      <c r="N235" s="7"/>
      <c r="O235" s="8" t="s">
        <v>25</v>
      </c>
    </row>
    <row r="236" ht="15.75" customHeight="1">
      <c r="B236" s="5" t="s">
        <v>60</v>
      </c>
      <c r="C236" s="5">
        <v>1.0</v>
      </c>
      <c r="D236" s="5">
        <v>8.0</v>
      </c>
      <c r="E236" s="5">
        <v>2.0</v>
      </c>
      <c r="F236" s="11">
        <v>330.0</v>
      </c>
      <c r="G236" s="20">
        <v>371.0</v>
      </c>
      <c r="H236" s="5">
        <v>2.0</v>
      </c>
      <c r="I236" s="5">
        <v>1.0</v>
      </c>
      <c r="J236" s="11">
        <f t="shared" si="1"/>
        <v>3.3</v>
      </c>
      <c r="K236" s="5" t="s">
        <v>95</v>
      </c>
      <c r="L236" s="27">
        <v>42748.0</v>
      </c>
      <c r="M236" s="7"/>
      <c r="N236" s="7"/>
      <c r="O236" s="8" t="s">
        <v>25</v>
      </c>
    </row>
    <row r="237" ht="15.75" customHeight="1">
      <c r="D237" s="13">
        <v>6.0</v>
      </c>
      <c r="F237" s="11"/>
      <c r="G237" s="20"/>
      <c r="J237" s="11">
        <f t="shared" si="1"/>
        <v>0</v>
      </c>
      <c r="L237" s="27">
        <v>42748.0</v>
      </c>
      <c r="M237" s="9"/>
      <c r="N237" s="9"/>
      <c r="O237" s="8" t="s">
        <v>25</v>
      </c>
    </row>
    <row r="238" ht="15.75" customHeight="1">
      <c r="D238" s="5">
        <v>11.0</v>
      </c>
      <c r="F238" s="11"/>
      <c r="G238" s="20"/>
      <c r="J238" s="11">
        <f t="shared" si="1"/>
        <v>0</v>
      </c>
      <c r="L238" s="27">
        <v>42748.0</v>
      </c>
      <c r="M238" s="9"/>
      <c r="N238" s="9"/>
      <c r="O238" s="8" t="s">
        <v>25</v>
      </c>
      <c r="P238" s="5" t="s">
        <v>63</v>
      </c>
    </row>
    <row r="239" ht="15.75" customHeight="1">
      <c r="B239" s="5" t="s">
        <v>60</v>
      </c>
      <c r="C239" s="5">
        <v>1.0</v>
      </c>
      <c r="D239" s="5">
        <v>12.0</v>
      </c>
      <c r="E239" s="5">
        <v>1.0</v>
      </c>
      <c r="F239" s="11">
        <v>270.0</v>
      </c>
      <c r="G239" s="20">
        <v>130.0</v>
      </c>
      <c r="H239" s="5">
        <v>5.0</v>
      </c>
      <c r="I239" s="5">
        <v>1.0</v>
      </c>
      <c r="J239" s="11">
        <f t="shared" si="1"/>
        <v>2.7</v>
      </c>
      <c r="K239" s="5" t="s">
        <v>57</v>
      </c>
      <c r="L239" s="27">
        <v>42748.0</v>
      </c>
      <c r="M239" s="7"/>
      <c r="N239" s="7"/>
      <c r="O239" s="8" t="s">
        <v>25</v>
      </c>
    </row>
    <row r="240" ht="15.75" customHeight="1">
      <c r="B240" s="22"/>
      <c r="C240" s="22"/>
      <c r="D240" s="35">
        <v>1.0</v>
      </c>
      <c r="E240" s="22"/>
      <c r="F240" s="22"/>
      <c r="G240" s="48"/>
      <c r="H240" s="22"/>
      <c r="I240" s="22"/>
      <c r="J240" s="11">
        <f t="shared" si="1"/>
        <v>0</v>
      </c>
      <c r="K240" s="22"/>
      <c r="L240" s="29">
        <v>42748.0</v>
      </c>
      <c r="M240" s="24"/>
      <c r="N240" s="24"/>
      <c r="O240" s="25" t="s">
        <v>25</v>
      </c>
    </row>
    <row r="241" ht="15.75" customHeight="1">
      <c r="B241" s="5" t="s">
        <v>60</v>
      </c>
      <c r="C241" s="5">
        <v>1.0</v>
      </c>
      <c r="D241" s="5">
        <v>7.0</v>
      </c>
      <c r="E241" s="5">
        <v>1.0</v>
      </c>
      <c r="F241" s="11">
        <v>513.0</v>
      </c>
      <c r="G241" s="20">
        <v>127.0</v>
      </c>
      <c r="H241" s="5">
        <v>2.0</v>
      </c>
      <c r="I241" s="5">
        <v>1.0</v>
      </c>
      <c r="J241" s="11">
        <f t="shared" si="1"/>
        <v>5.13</v>
      </c>
      <c r="L241" s="27">
        <v>43155.0</v>
      </c>
      <c r="M241" s="7"/>
      <c r="N241" s="7"/>
      <c r="O241" s="8" t="s">
        <v>25</v>
      </c>
    </row>
    <row r="242" ht="15.75" customHeight="1">
      <c r="D242" s="13">
        <v>4.0</v>
      </c>
      <c r="F242" s="11"/>
      <c r="G242" s="20"/>
      <c r="J242" s="11">
        <f t="shared" si="1"/>
        <v>0</v>
      </c>
      <c r="L242" s="27">
        <v>43155.0</v>
      </c>
      <c r="M242" s="7"/>
      <c r="N242" s="7"/>
      <c r="O242" s="8" t="s">
        <v>25</v>
      </c>
    </row>
    <row r="243" ht="15.75" customHeight="1">
      <c r="B243" s="5" t="s">
        <v>60</v>
      </c>
      <c r="C243" s="5">
        <v>1.0</v>
      </c>
      <c r="D243" s="13">
        <v>3.0</v>
      </c>
      <c r="E243" s="5">
        <v>1.0</v>
      </c>
      <c r="F243" s="11">
        <v>643.0</v>
      </c>
      <c r="G243" s="20">
        <v>58.0</v>
      </c>
      <c r="H243" s="5">
        <v>5.0</v>
      </c>
      <c r="I243" s="5">
        <v>1.0</v>
      </c>
      <c r="J243" s="11">
        <f t="shared" si="1"/>
        <v>6.43</v>
      </c>
      <c r="K243" s="5" t="s">
        <v>55</v>
      </c>
      <c r="L243" s="34">
        <v>43155.0</v>
      </c>
      <c r="M243" s="9"/>
      <c r="N243" s="9"/>
      <c r="O243" s="8" t="s">
        <v>25</v>
      </c>
    </row>
    <row r="244" ht="15.75" customHeight="1">
      <c r="B244" s="5" t="s">
        <v>60</v>
      </c>
      <c r="C244" s="5">
        <v>1.0</v>
      </c>
      <c r="D244" s="13">
        <v>3.0</v>
      </c>
      <c r="E244" s="5">
        <v>1.0</v>
      </c>
      <c r="F244" s="11">
        <v>643.0</v>
      </c>
      <c r="G244" s="20">
        <v>58.0</v>
      </c>
      <c r="H244" s="5">
        <v>5.0</v>
      </c>
      <c r="I244" s="5">
        <v>1.0</v>
      </c>
      <c r="J244" s="11">
        <f t="shared" si="1"/>
        <v>6.43</v>
      </c>
      <c r="K244" s="5" t="s">
        <v>55</v>
      </c>
      <c r="L244" s="34">
        <v>43155.0</v>
      </c>
      <c r="M244" s="9"/>
      <c r="N244" s="9"/>
      <c r="O244" s="8" t="s">
        <v>25</v>
      </c>
    </row>
    <row r="245" ht="15.75" customHeight="1">
      <c r="D245" s="5">
        <v>9.0</v>
      </c>
      <c r="F245" s="11"/>
      <c r="G245" s="20"/>
      <c r="J245" s="11">
        <f t="shared" si="1"/>
        <v>0</v>
      </c>
      <c r="L245" s="34">
        <v>43155.0</v>
      </c>
      <c r="M245" s="9"/>
      <c r="N245" s="9"/>
      <c r="O245" s="8" t="s">
        <v>25</v>
      </c>
    </row>
    <row r="246" ht="15.75" customHeight="1">
      <c r="B246" s="5" t="s">
        <v>60</v>
      </c>
      <c r="C246" s="5">
        <v>1.0</v>
      </c>
      <c r="D246" s="5">
        <v>10.0</v>
      </c>
      <c r="E246" s="5">
        <v>1.0</v>
      </c>
      <c r="F246" s="11">
        <v>1000.0</v>
      </c>
      <c r="G246" s="20">
        <v>430.0</v>
      </c>
      <c r="H246" s="5">
        <v>2.0</v>
      </c>
      <c r="I246" s="5">
        <v>1.0</v>
      </c>
      <c r="J246" s="11">
        <f t="shared" si="1"/>
        <v>10</v>
      </c>
      <c r="K246" s="5" t="s">
        <v>57</v>
      </c>
      <c r="L246" s="34">
        <v>43155.0</v>
      </c>
      <c r="M246" s="9"/>
      <c r="N246" s="9"/>
      <c r="O246" s="8" t="s">
        <v>25</v>
      </c>
    </row>
    <row r="247" ht="15.75" customHeight="1">
      <c r="B247" s="5" t="s">
        <v>60</v>
      </c>
      <c r="C247" s="5">
        <v>1.0</v>
      </c>
      <c r="D247" s="13">
        <v>2.0</v>
      </c>
      <c r="E247" s="5">
        <v>1.0</v>
      </c>
      <c r="F247" s="11">
        <v>431.0</v>
      </c>
      <c r="G247" s="20">
        <v>79.0</v>
      </c>
      <c r="H247" s="5">
        <v>5.0</v>
      </c>
      <c r="I247" s="5">
        <v>1.0</v>
      </c>
      <c r="J247" s="11">
        <f t="shared" si="1"/>
        <v>4.31</v>
      </c>
      <c r="L247" s="34">
        <v>43155.0</v>
      </c>
      <c r="M247" s="9"/>
      <c r="N247" s="9"/>
      <c r="O247" s="8" t="s">
        <v>25</v>
      </c>
    </row>
    <row r="248" ht="15.75" customHeight="1">
      <c r="B248" s="5" t="s">
        <v>60</v>
      </c>
      <c r="C248" s="5">
        <v>1.0</v>
      </c>
      <c r="D248" s="13">
        <v>2.0</v>
      </c>
      <c r="E248" s="5">
        <v>1.0</v>
      </c>
      <c r="F248" s="11">
        <v>635.0</v>
      </c>
      <c r="G248" s="20">
        <v>0.0</v>
      </c>
      <c r="H248" s="5">
        <v>5.0</v>
      </c>
      <c r="I248" s="5">
        <v>5.0</v>
      </c>
      <c r="J248" s="11">
        <f t="shared" si="1"/>
        <v>6.35</v>
      </c>
      <c r="L248" s="34">
        <v>43155.0</v>
      </c>
      <c r="M248" s="9"/>
      <c r="N248" s="9"/>
      <c r="O248" s="8" t="s">
        <v>25</v>
      </c>
    </row>
    <row r="249" ht="15.75" customHeight="1">
      <c r="D249" s="13">
        <v>5.0</v>
      </c>
      <c r="F249" s="11"/>
      <c r="G249" s="20"/>
      <c r="J249" s="11">
        <f t="shared" si="1"/>
        <v>0</v>
      </c>
      <c r="L249" s="34">
        <v>43155.0</v>
      </c>
      <c r="M249" s="9"/>
      <c r="N249" s="9"/>
      <c r="O249" s="8" t="s">
        <v>25</v>
      </c>
    </row>
    <row r="250" ht="15.75" customHeight="1">
      <c r="B250" s="5" t="s">
        <v>60</v>
      </c>
      <c r="C250" s="5">
        <v>1.0</v>
      </c>
      <c r="D250" s="5">
        <v>8.0</v>
      </c>
      <c r="E250" s="5">
        <v>1.0</v>
      </c>
      <c r="F250" s="11">
        <v>160.0</v>
      </c>
      <c r="G250" s="20">
        <v>93.0</v>
      </c>
      <c r="H250" s="5">
        <v>5.0</v>
      </c>
      <c r="I250" s="5">
        <v>1.0</v>
      </c>
      <c r="J250" s="11">
        <f t="shared" si="1"/>
        <v>1.6</v>
      </c>
      <c r="K250" s="5" t="s">
        <v>57</v>
      </c>
      <c r="L250" s="34">
        <v>43155.0</v>
      </c>
      <c r="M250" s="9"/>
      <c r="N250" s="9"/>
      <c r="O250" s="8" t="s">
        <v>25</v>
      </c>
    </row>
    <row r="251" ht="15.75" customHeight="1">
      <c r="B251" s="5" t="s">
        <v>60</v>
      </c>
      <c r="C251" s="5">
        <v>1.0</v>
      </c>
      <c r="D251" s="5">
        <v>8.0</v>
      </c>
      <c r="E251" s="5">
        <v>1.0</v>
      </c>
      <c r="F251" s="11">
        <v>450.0</v>
      </c>
      <c r="G251" s="20">
        <v>270.0</v>
      </c>
      <c r="H251" s="5">
        <v>2.0</v>
      </c>
      <c r="I251" s="5">
        <v>1.0</v>
      </c>
      <c r="J251" s="11">
        <f t="shared" si="1"/>
        <v>4.5</v>
      </c>
      <c r="K251" s="5" t="s">
        <v>55</v>
      </c>
      <c r="L251" s="34">
        <v>43155.0</v>
      </c>
      <c r="M251" s="9"/>
      <c r="N251" s="9"/>
      <c r="O251" s="8" t="s">
        <v>25</v>
      </c>
    </row>
    <row r="252" ht="15.75" customHeight="1">
      <c r="B252" s="5" t="s">
        <v>60</v>
      </c>
      <c r="C252" s="5">
        <v>1.0</v>
      </c>
      <c r="D252" s="5">
        <v>8.0</v>
      </c>
      <c r="E252" s="5">
        <v>2.0</v>
      </c>
      <c r="F252" s="11">
        <v>173.0</v>
      </c>
      <c r="G252" s="20">
        <v>142.0</v>
      </c>
      <c r="H252" s="5">
        <v>5.0</v>
      </c>
      <c r="I252" s="5">
        <v>1.0</v>
      </c>
      <c r="J252" s="11">
        <f t="shared" si="1"/>
        <v>1.73</v>
      </c>
      <c r="L252" s="34">
        <v>43155.0</v>
      </c>
      <c r="M252" s="9"/>
      <c r="N252" s="9"/>
      <c r="O252" s="8" t="s">
        <v>25</v>
      </c>
    </row>
    <row r="253" ht="15.75" customHeight="1">
      <c r="D253" s="13">
        <v>6.0</v>
      </c>
      <c r="F253" s="11"/>
      <c r="G253" s="20"/>
      <c r="J253" s="11">
        <f t="shared" si="1"/>
        <v>0</v>
      </c>
      <c r="L253" s="34">
        <v>43155.0</v>
      </c>
      <c r="M253" s="9"/>
      <c r="N253" s="9"/>
      <c r="O253" s="8" t="s">
        <v>25</v>
      </c>
    </row>
    <row r="254" ht="15.75" customHeight="1">
      <c r="D254" s="5">
        <v>11.0</v>
      </c>
      <c r="F254" s="11"/>
      <c r="G254" s="20"/>
      <c r="J254" s="11">
        <f t="shared" si="1"/>
        <v>0</v>
      </c>
      <c r="L254" s="34">
        <v>43155.0</v>
      </c>
      <c r="M254" s="9"/>
      <c r="N254" s="9"/>
      <c r="O254" s="8" t="s">
        <v>25</v>
      </c>
    </row>
    <row r="255" ht="15.75" customHeight="1">
      <c r="B255" s="5" t="s">
        <v>60</v>
      </c>
      <c r="C255" s="5">
        <v>1.0</v>
      </c>
      <c r="D255" s="5">
        <v>12.0</v>
      </c>
      <c r="E255" s="5">
        <v>2.0</v>
      </c>
      <c r="F255" s="11">
        <v>321.0</v>
      </c>
      <c r="G255" s="20">
        <v>117.0</v>
      </c>
      <c r="H255" s="5">
        <v>5.0</v>
      </c>
      <c r="I255" s="5">
        <v>5.0</v>
      </c>
      <c r="J255" s="11">
        <f t="shared" si="1"/>
        <v>3.21</v>
      </c>
      <c r="L255" s="27">
        <v>43155.0</v>
      </c>
      <c r="M255" s="7"/>
      <c r="N255" s="7"/>
      <c r="O255" s="8" t="s">
        <v>93</v>
      </c>
    </row>
    <row r="256" ht="15.75" customHeight="1">
      <c r="B256" s="5" t="s">
        <v>60</v>
      </c>
      <c r="C256" s="5">
        <v>1.0</v>
      </c>
      <c r="D256" s="5">
        <v>12.0</v>
      </c>
      <c r="E256" s="5">
        <v>1.0</v>
      </c>
      <c r="F256" s="11">
        <v>280.0</v>
      </c>
      <c r="G256" s="20">
        <v>174.0</v>
      </c>
      <c r="H256" s="5">
        <v>5.0</v>
      </c>
      <c r="I256" s="5">
        <v>1.0</v>
      </c>
      <c r="J256" s="11">
        <f t="shared" si="1"/>
        <v>2.8</v>
      </c>
      <c r="K256" s="5" t="s">
        <v>57</v>
      </c>
      <c r="L256" s="27">
        <v>43155.0</v>
      </c>
      <c r="M256" s="7"/>
      <c r="N256" s="7"/>
      <c r="O256" s="8" t="s">
        <v>93</v>
      </c>
    </row>
    <row r="257" ht="15.75" customHeight="1">
      <c r="B257" s="22"/>
      <c r="C257" s="22"/>
      <c r="D257" s="35">
        <v>1.0</v>
      </c>
      <c r="E257" s="22"/>
      <c r="F257" s="22"/>
      <c r="G257" s="48"/>
      <c r="H257" s="22"/>
      <c r="I257" s="22"/>
      <c r="J257" s="11">
        <f t="shared" si="1"/>
        <v>0</v>
      </c>
      <c r="K257" s="22"/>
      <c r="L257" s="29">
        <v>43155.0</v>
      </c>
      <c r="M257" s="24"/>
      <c r="N257" s="24"/>
      <c r="O257" s="25" t="s">
        <v>25</v>
      </c>
    </row>
    <row r="258" ht="15.75" customHeight="1">
      <c r="D258" s="5">
        <v>7.0</v>
      </c>
      <c r="F258" s="11"/>
      <c r="G258" s="20"/>
      <c r="J258" s="11">
        <f t="shared" si="1"/>
        <v>0</v>
      </c>
      <c r="L258" s="27">
        <v>43169.0</v>
      </c>
      <c r="M258" s="7"/>
      <c r="N258" s="7"/>
      <c r="O258" s="8" t="s">
        <v>25</v>
      </c>
    </row>
    <row r="259" ht="15.75" customHeight="1">
      <c r="D259" s="13">
        <v>4.0</v>
      </c>
      <c r="F259" s="11"/>
      <c r="G259" s="20"/>
      <c r="J259" s="11">
        <f t="shared" si="1"/>
        <v>0</v>
      </c>
      <c r="L259" s="27">
        <v>43169.0</v>
      </c>
      <c r="M259" s="7"/>
      <c r="N259" s="7"/>
      <c r="O259" s="8" t="s">
        <v>25</v>
      </c>
    </row>
    <row r="260" ht="15.75" customHeight="1">
      <c r="D260" s="13">
        <v>3.0</v>
      </c>
      <c r="F260" s="11"/>
      <c r="G260" s="20"/>
      <c r="J260" s="11">
        <f t="shared" si="1"/>
        <v>0</v>
      </c>
      <c r="L260" s="27">
        <v>43169.0</v>
      </c>
      <c r="M260" s="7"/>
      <c r="N260" s="7"/>
      <c r="O260" s="8" t="s">
        <v>25</v>
      </c>
      <c r="P260" s="8"/>
      <c r="Q260" s="8"/>
    </row>
    <row r="261" ht="15.75" customHeight="1">
      <c r="D261" s="5">
        <v>9.0</v>
      </c>
      <c r="F261" s="11"/>
      <c r="G261" s="20"/>
      <c r="J261" s="11">
        <f t="shared" si="1"/>
        <v>0</v>
      </c>
      <c r="L261" s="27">
        <v>43169.0</v>
      </c>
      <c r="M261" s="7"/>
      <c r="N261" s="7"/>
      <c r="O261" s="8" t="s">
        <v>25</v>
      </c>
      <c r="P261" s="8" t="s">
        <v>26</v>
      </c>
      <c r="Q261" s="8"/>
    </row>
    <row r="262" ht="15.75" customHeight="1">
      <c r="D262" s="5">
        <v>10.0</v>
      </c>
      <c r="F262" s="11"/>
      <c r="G262" s="20"/>
      <c r="J262" s="11">
        <f t="shared" si="1"/>
        <v>0</v>
      </c>
      <c r="L262" s="27">
        <v>43169.0</v>
      </c>
      <c r="M262" s="7"/>
      <c r="N262" s="7"/>
      <c r="O262" s="8" t="s">
        <v>25</v>
      </c>
    </row>
    <row r="263" ht="15.75" customHeight="1">
      <c r="D263" s="13">
        <v>2.0</v>
      </c>
      <c r="F263" s="11"/>
      <c r="G263" s="20"/>
      <c r="J263" s="11">
        <f t="shared" si="1"/>
        <v>0</v>
      </c>
      <c r="L263" s="27">
        <v>43169.0</v>
      </c>
      <c r="M263" s="7"/>
      <c r="N263" s="7"/>
      <c r="O263" s="8" t="s">
        <v>25</v>
      </c>
    </row>
    <row r="264" ht="15.75" customHeight="1">
      <c r="D264" s="13">
        <v>5.0</v>
      </c>
      <c r="F264" s="11"/>
      <c r="G264" s="20"/>
      <c r="J264" s="11">
        <f t="shared" si="1"/>
        <v>0</v>
      </c>
      <c r="L264" s="27">
        <v>43169.0</v>
      </c>
      <c r="M264" s="7"/>
      <c r="N264" s="7"/>
      <c r="O264" s="8" t="s">
        <v>25</v>
      </c>
    </row>
    <row r="265" ht="15.75" customHeight="1">
      <c r="B265" s="5" t="s">
        <v>60</v>
      </c>
      <c r="C265" s="5">
        <v>1.0</v>
      </c>
      <c r="D265" s="5">
        <v>8.0</v>
      </c>
      <c r="E265" s="5">
        <v>1.0</v>
      </c>
      <c r="F265" s="11">
        <v>791.0</v>
      </c>
      <c r="G265" s="20">
        <v>61.0</v>
      </c>
      <c r="H265" s="5">
        <v>5.0</v>
      </c>
      <c r="I265" s="5">
        <v>5.0</v>
      </c>
      <c r="J265" s="11">
        <f t="shared" si="1"/>
        <v>7.91</v>
      </c>
      <c r="L265" s="27">
        <v>43169.0</v>
      </c>
      <c r="M265" s="7"/>
      <c r="N265" s="7"/>
      <c r="O265" s="8" t="s">
        <v>25</v>
      </c>
    </row>
    <row r="266" ht="15.75" customHeight="1">
      <c r="D266" s="13">
        <v>6.0</v>
      </c>
      <c r="F266" s="11"/>
      <c r="G266" s="20"/>
      <c r="J266" s="11">
        <f t="shared" si="1"/>
        <v>0</v>
      </c>
      <c r="L266" s="27">
        <v>43169.0</v>
      </c>
      <c r="M266" s="9"/>
      <c r="N266" s="9"/>
      <c r="O266" s="8" t="s">
        <v>25</v>
      </c>
    </row>
    <row r="267" ht="15.75" customHeight="1">
      <c r="B267" s="5" t="s">
        <v>60</v>
      </c>
      <c r="C267" s="5">
        <v>1.0</v>
      </c>
      <c r="D267" s="5">
        <v>11.0</v>
      </c>
      <c r="E267" s="5">
        <v>1.0</v>
      </c>
      <c r="F267" s="11">
        <v>642.0</v>
      </c>
      <c r="G267" s="20">
        <v>74.0</v>
      </c>
      <c r="H267" s="5">
        <v>2.0</v>
      </c>
      <c r="I267" s="5">
        <v>1.0</v>
      </c>
      <c r="J267" s="11">
        <f t="shared" si="1"/>
        <v>6.42</v>
      </c>
      <c r="K267" s="5" t="s">
        <v>55</v>
      </c>
      <c r="L267" s="27">
        <v>43169.0</v>
      </c>
      <c r="M267" s="7"/>
      <c r="N267" s="9"/>
      <c r="O267" s="8" t="s">
        <v>25</v>
      </c>
    </row>
    <row r="268" ht="15.75" customHeight="1">
      <c r="B268" s="5" t="s">
        <v>60</v>
      </c>
      <c r="C268" s="5">
        <v>1.0</v>
      </c>
      <c r="D268" s="5">
        <v>11.0</v>
      </c>
      <c r="E268" s="5">
        <v>1.0</v>
      </c>
      <c r="F268" s="11">
        <v>642.0</v>
      </c>
      <c r="G268" s="20">
        <v>74.0</v>
      </c>
      <c r="H268" s="5">
        <v>2.0</v>
      </c>
      <c r="I268" s="5">
        <v>1.0</v>
      </c>
      <c r="J268" s="11">
        <f t="shared" si="1"/>
        <v>6.42</v>
      </c>
      <c r="K268" s="5" t="s">
        <v>57</v>
      </c>
      <c r="L268" s="27">
        <v>43169.0</v>
      </c>
      <c r="M268" s="7"/>
      <c r="N268" s="9"/>
      <c r="O268" s="8" t="s">
        <v>25</v>
      </c>
    </row>
    <row r="269" ht="15.75" customHeight="1">
      <c r="B269" s="5" t="s">
        <v>60</v>
      </c>
      <c r="C269" s="5">
        <v>1.0</v>
      </c>
      <c r="D269" s="5">
        <v>11.0</v>
      </c>
      <c r="E269" s="5">
        <v>1.0</v>
      </c>
      <c r="F269" s="11">
        <v>470.0</v>
      </c>
      <c r="G269" s="20">
        <v>257.0</v>
      </c>
      <c r="H269" s="5">
        <v>2.0</v>
      </c>
      <c r="I269" s="5">
        <v>1.0</v>
      </c>
      <c r="J269" s="11">
        <f t="shared" si="1"/>
        <v>4.7</v>
      </c>
      <c r="K269" s="5" t="s">
        <v>55</v>
      </c>
      <c r="L269" s="27">
        <v>43169.0</v>
      </c>
      <c r="M269" s="7"/>
      <c r="N269" s="9"/>
      <c r="O269" s="8" t="s">
        <v>25</v>
      </c>
    </row>
    <row r="270" ht="15.75" customHeight="1">
      <c r="B270" s="5" t="s">
        <v>60</v>
      </c>
      <c r="C270" s="5">
        <v>1.0</v>
      </c>
      <c r="D270" s="5">
        <v>12.0</v>
      </c>
      <c r="E270" s="5">
        <v>1.0</v>
      </c>
      <c r="F270" s="11">
        <v>246.0</v>
      </c>
      <c r="G270" s="20">
        <v>64.0</v>
      </c>
      <c r="H270" s="5">
        <v>5.0</v>
      </c>
      <c r="I270" s="5">
        <v>5.0</v>
      </c>
      <c r="J270" s="11">
        <f t="shared" si="1"/>
        <v>2.46</v>
      </c>
      <c r="K270" s="5" t="s">
        <v>57</v>
      </c>
      <c r="L270" s="27">
        <v>43169.0</v>
      </c>
      <c r="M270" s="7"/>
      <c r="N270" s="7"/>
      <c r="O270" s="8" t="s">
        <v>25</v>
      </c>
    </row>
    <row r="271" ht="15.75" customHeight="1">
      <c r="A271" s="22"/>
      <c r="B271" s="22"/>
      <c r="C271" s="22"/>
      <c r="D271" s="35">
        <v>1.0</v>
      </c>
      <c r="E271" s="22"/>
      <c r="F271" s="22"/>
      <c r="G271" s="48"/>
      <c r="H271" s="22"/>
      <c r="I271" s="22"/>
      <c r="J271" s="11">
        <f t="shared" si="1"/>
        <v>0</v>
      </c>
      <c r="K271" s="22"/>
      <c r="L271" s="29">
        <v>43169.0</v>
      </c>
      <c r="M271" s="24"/>
      <c r="N271" s="24"/>
      <c r="O271" s="25" t="s">
        <v>25</v>
      </c>
    </row>
    <row r="272" ht="15.75" customHeight="1">
      <c r="B272" s="5" t="s">
        <v>60</v>
      </c>
      <c r="C272" s="5">
        <v>1.0</v>
      </c>
      <c r="D272" s="5">
        <v>7.0</v>
      </c>
      <c r="E272" s="5">
        <v>2.0</v>
      </c>
      <c r="F272" s="11">
        <v>342.0</v>
      </c>
      <c r="G272" s="20">
        <v>76.0</v>
      </c>
      <c r="H272" s="5">
        <v>2.0</v>
      </c>
      <c r="I272" s="5">
        <v>1.0</v>
      </c>
      <c r="J272" s="11">
        <f t="shared" si="1"/>
        <v>3.42</v>
      </c>
      <c r="L272" s="27">
        <v>43204.0</v>
      </c>
      <c r="M272" s="9"/>
      <c r="N272" s="9"/>
      <c r="O272" s="8" t="s">
        <v>25</v>
      </c>
    </row>
    <row r="273" ht="15.75" customHeight="1">
      <c r="B273" s="5" t="s">
        <v>60</v>
      </c>
      <c r="C273" s="5">
        <v>1.0</v>
      </c>
      <c r="D273" s="5">
        <v>7.0</v>
      </c>
      <c r="E273" s="5">
        <v>1.0</v>
      </c>
      <c r="F273" s="11">
        <v>628.0</v>
      </c>
      <c r="G273" s="20">
        <v>263.0</v>
      </c>
      <c r="H273" s="5">
        <v>2.0</v>
      </c>
      <c r="I273" s="5">
        <v>1.0</v>
      </c>
      <c r="J273" s="11">
        <f t="shared" si="1"/>
        <v>6.28</v>
      </c>
      <c r="L273" s="27">
        <v>43204.0</v>
      </c>
      <c r="M273" s="9"/>
      <c r="N273" s="9"/>
      <c r="O273" s="8" t="s">
        <v>25</v>
      </c>
    </row>
    <row r="274" ht="15.75" customHeight="1">
      <c r="D274" s="13">
        <v>4.0</v>
      </c>
      <c r="F274" s="11"/>
      <c r="G274" s="20"/>
      <c r="J274" s="11">
        <f t="shared" si="1"/>
        <v>0</v>
      </c>
      <c r="L274" s="27">
        <v>43204.0</v>
      </c>
      <c r="M274" s="9"/>
      <c r="N274" s="9"/>
      <c r="O274" s="8" t="s">
        <v>25</v>
      </c>
    </row>
    <row r="275" ht="15.75" customHeight="1">
      <c r="B275" s="5" t="s">
        <v>60</v>
      </c>
      <c r="C275" s="5">
        <v>1.0</v>
      </c>
      <c r="D275" s="13">
        <v>3.0</v>
      </c>
      <c r="E275" s="5">
        <v>1.0</v>
      </c>
      <c r="F275" s="11">
        <v>1223.0</v>
      </c>
      <c r="G275" s="20">
        <v>48.0</v>
      </c>
      <c r="H275" s="5">
        <v>5.0</v>
      </c>
      <c r="I275" s="5">
        <v>1.0</v>
      </c>
      <c r="J275" s="11">
        <f t="shared" si="1"/>
        <v>12.23</v>
      </c>
      <c r="L275" s="27">
        <v>43204.0</v>
      </c>
      <c r="M275" s="9"/>
      <c r="N275" s="9"/>
      <c r="O275" s="8" t="s">
        <v>25</v>
      </c>
    </row>
    <row r="276" ht="15.75" customHeight="1">
      <c r="D276" s="5">
        <v>9.0</v>
      </c>
      <c r="F276" s="11"/>
      <c r="G276" s="20"/>
      <c r="J276" s="11">
        <f t="shared" si="1"/>
        <v>0</v>
      </c>
      <c r="L276" s="27">
        <v>43204.0</v>
      </c>
      <c r="M276" s="9"/>
      <c r="N276" s="9"/>
      <c r="O276" s="8" t="s">
        <v>25</v>
      </c>
    </row>
    <row r="277" ht="15.75" customHeight="1">
      <c r="B277" s="5" t="s">
        <v>60</v>
      </c>
      <c r="C277" s="5">
        <v>1.0</v>
      </c>
      <c r="D277" s="5">
        <v>10.0</v>
      </c>
      <c r="E277" s="5">
        <v>1.0</v>
      </c>
      <c r="F277" s="11">
        <v>779.0</v>
      </c>
      <c r="G277" s="20">
        <v>134.0</v>
      </c>
      <c r="H277" s="5">
        <v>2.0</v>
      </c>
      <c r="I277" s="5">
        <v>1.0</v>
      </c>
      <c r="J277" s="11">
        <f t="shared" si="1"/>
        <v>7.79</v>
      </c>
      <c r="L277" s="27">
        <v>43204.0</v>
      </c>
      <c r="M277" s="7"/>
      <c r="N277" s="7"/>
      <c r="O277" s="8" t="s">
        <v>25</v>
      </c>
    </row>
    <row r="278" ht="15.75" customHeight="1">
      <c r="B278" s="5" t="s">
        <v>60</v>
      </c>
      <c r="C278" s="5">
        <v>1.0</v>
      </c>
      <c r="D278" s="5">
        <v>10.0</v>
      </c>
      <c r="E278" s="5">
        <v>1.0</v>
      </c>
      <c r="F278" s="11">
        <v>554.0</v>
      </c>
      <c r="G278" s="20">
        <v>184.0</v>
      </c>
      <c r="H278" s="5">
        <v>2.0</v>
      </c>
      <c r="I278" s="5">
        <v>1.0</v>
      </c>
      <c r="J278" s="11">
        <f t="shared" si="1"/>
        <v>5.54</v>
      </c>
      <c r="L278" s="27">
        <v>43204.0</v>
      </c>
      <c r="M278" s="7"/>
      <c r="N278" s="7"/>
      <c r="O278" s="8" t="s">
        <v>25</v>
      </c>
    </row>
    <row r="279" ht="15.75" customHeight="1">
      <c r="D279" s="13">
        <v>2.0</v>
      </c>
      <c r="F279" s="11"/>
      <c r="G279" s="20"/>
      <c r="J279" s="11">
        <f t="shared" si="1"/>
        <v>0</v>
      </c>
      <c r="L279" s="27">
        <v>43204.0</v>
      </c>
      <c r="M279" s="7"/>
      <c r="N279" s="7"/>
      <c r="O279" s="8" t="s">
        <v>25</v>
      </c>
    </row>
    <row r="280" ht="15.75" customHeight="1">
      <c r="D280" s="13">
        <v>5.0</v>
      </c>
      <c r="F280" s="11"/>
      <c r="G280" s="20"/>
      <c r="J280" s="11">
        <f t="shared" si="1"/>
        <v>0</v>
      </c>
      <c r="L280" s="27">
        <v>43204.0</v>
      </c>
      <c r="M280" s="7"/>
      <c r="N280" s="7"/>
      <c r="O280" s="8" t="s">
        <v>25</v>
      </c>
    </row>
    <row r="281" ht="15.75" customHeight="1">
      <c r="B281" s="5" t="s">
        <v>60</v>
      </c>
      <c r="C281" s="5">
        <v>1.0</v>
      </c>
      <c r="D281" s="5">
        <v>8.0</v>
      </c>
      <c r="E281" s="5">
        <v>1.0</v>
      </c>
      <c r="F281" s="11">
        <v>406.0</v>
      </c>
      <c r="G281" s="20">
        <v>130.0</v>
      </c>
      <c r="H281" s="5">
        <v>2.0</v>
      </c>
      <c r="I281" s="5">
        <v>1.0</v>
      </c>
      <c r="J281" s="11">
        <f t="shared" si="1"/>
        <v>4.06</v>
      </c>
      <c r="L281" s="27">
        <v>43204.0</v>
      </c>
      <c r="M281" s="7"/>
      <c r="N281" s="7"/>
      <c r="O281" s="8" t="s">
        <v>25</v>
      </c>
    </row>
    <row r="282" ht="15.75" customHeight="1">
      <c r="B282" s="5" t="s">
        <v>60</v>
      </c>
      <c r="C282" s="5">
        <v>1.0</v>
      </c>
      <c r="D282" s="5">
        <v>8.0</v>
      </c>
      <c r="E282" s="5">
        <v>1.0</v>
      </c>
      <c r="F282" s="11">
        <v>271.0</v>
      </c>
      <c r="G282" s="20">
        <v>75.0</v>
      </c>
      <c r="H282" s="5">
        <v>5.0</v>
      </c>
      <c r="I282" s="5">
        <v>1.0</v>
      </c>
      <c r="J282" s="11">
        <f t="shared" si="1"/>
        <v>2.71</v>
      </c>
      <c r="L282" s="27">
        <v>43204.0</v>
      </c>
      <c r="M282" s="7"/>
      <c r="N282" s="7"/>
      <c r="O282" s="8" t="s">
        <v>25</v>
      </c>
    </row>
    <row r="283" ht="15.75" customHeight="1">
      <c r="B283" s="5" t="s">
        <v>60</v>
      </c>
      <c r="C283" s="5">
        <v>1.0</v>
      </c>
      <c r="D283" s="5">
        <v>8.0</v>
      </c>
      <c r="E283" s="5">
        <v>1.0</v>
      </c>
      <c r="F283" s="11">
        <v>267.0</v>
      </c>
      <c r="G283" s="20">
        <v>97.0</v>
      </c>
      <c r="H283" s="5">
        <v>5.0</v>
      </c>
      <c r="I283" s="5">
        <v>1.0</v>
      </c>
      <c r="J283" s="11">
        <f t="shared" si="1"/>
        <v>2.67</v>
      </c>
      <c r="L283" s="27">
        <v>43204.0</v>
      </c>
      <c r="M283" s="7"/>
      <c r="N283" s="7"/>
      <c r="O283" s="8" t="s">
        <v>25</v>
      </c>
    </row>
    <row r="284" ht="15.75" customHeight="1">
      <c r="B284" s="5" t="s">
        <v>60</v>
      </c>
      <c r="C284" s="5">
        <v>1.0</v>
      </c>
      <c r="D284" s="5">
        <v>8.0</v>
      </c>
      <c r="E284" s="5">
        <v>1.0</v>
      </c>
      <c r="F284" s="11">
        <v>450.0</v>
      </c>
      <c r="G284" s="20">
        <v>118.0</v>
      </c>
      <c r="H284" s="5">
        <v>5.0</v>
      </c>
      <c r="I284" s="5">
        <v>1.0</v>
      </c>
      <c r="J284" s="11">
        <f t="shared" si="1"/>
        <v>4.5</v>
      </c>
      <c r="K284" s="5" t="s">
        <v>57</v>
      </c>
      <c r="L284" s="27">
        <v>43204.0</v>
      </c>
      <c r="M284" s="7"/>
      <c r="N284" s="7"/>
      <c r="O284" s="8" t="s">
        <v>25</v>
      </c>
    </row>
    <row r="285" ht="15.75" customHeight="1">
      <c r="B285" s="5" t="s">
        <v>60</v>
      </c>
      <c r="C285" s="5">
        <v>1.0</v>
      </c>
      <c r="D285" s="5">
        <v>8.0</v>
      </c>
      <c r="E285" s="5">
        <v>1.0</v>
      </c>
      <c r="F285" s="11">
        <v>298.0</v>
      </c>
      <c r="G285" s="20">
        <v>69.0</v>
      </c>
      <c r="H285" s="5">
        <v>5.0</v>
      </c>
      <c r="I285" s="5">
        <v>1.0</v>
      </c>
      <c r="J285" s="11">
        <f t="shared" si="1"/>
        <v>2.98</v>
      </c>
      <c r="L285" s="27">
        <v>43204.0</v>
      </c>
      <c r="M285" s="7"/>
      <c r="N285" s="7"/>
      <c r="O285" s="8" t="s">
        <v>25</v>
      </c>
    </row>
    <row r="286" ht="15.75" customHeight="1">
      <c r="D286" s="13">
        <v>6.0</v>
      </c>
      <c r="F286" s="11"/>
      <c r="G286" s="20"/>
      <c r="J286" s="11">
        <f t="shared" si="1"/>
        <v>0</v>
      </c>
      <c r="L286" s="27">
        <v>43204.0</v>
      </c>
      <c r="M286" s="9"/>
      <c r="N286" s="9"/>
      <c r="O286" s="8" t="s">
        <v>25</v>
      </c>
    </row>
    <row r="287" ht="15.75" customHeight="1">
      <c r="B287" s="5" t="s">
        <v>60</v>
      </c>
      <c r="C287" s="5">
        <v>1.0</v>
      </c>
      <c r="D287" s="5">
        <v>11.0</v>
      </c>
      <c r="E287" s="5">
        <v>1.0</v>
      </c>
      <c r="F287" s="11">
        <v>426.0</v>
      </c>
      <c r="G287" s="20">
        <v>115.0</v>
      </c>
      <c r="H287" s="5">
        <v>2.0</v>
      </c>
      <c r="I287" s="5">
        <v>1.0</v>
      </c>
      <c r="J287" s="11">
        <f t="shared" si="1"/>
        <v>4.26</v>
      </c>
      <c r="L287" s="27">
        <v>43204.0</v>
      </c>
      <c r="M287" s="9"/>
      <c r="N287" s="9"/>
      <c r="O287" s="8" t="s">
        <v>25</v>
      </c>
    </row>
    <row r="288" ht="15.75" customHeight="1">
      <c r="B288" s="5" t="s">
        <v>60</v>
      </c>
      <c r="C288" s="5">
        <v>1.0</v>
      </c>
      <c r="D288" s="5">
        <v>11.0</v>
      </c>
      <c r="E288" s="5">
        <v>1.0</v>
      </c>
      <c r="F288" s="11">
        <v>454.0</v>
      </c>
      <c r="G288" s="20">
        <v>34.0</v>
      </c>
      <c r="H288" s="5">
        <v>2.0</v>
      </c>
      <c r="I288" s="5">
        <v>1.0</v>
      </c>
      <c r="J288" s="11">
        <f t="shared" si="1"/>
        <v>4.54</v>
      </c>
      <c r="L288" s="27">
        <v>43204.0</v>
      </c>
      <c r="M288" s="9"/>
      <c r="N288" s="9"/>
      <c r="O288" s="8" t="s">
        <v>25</v>
      </c>
    </row>
    <row r="289" ht="15.75" customHeight="1">
      <c r="B289" s="5" t="s">
        <v>60</v>
      </c>
      <c r="C289" s="5">
        <v>1.0</v>
      </c>
      <c r="D289" s="5">
        <v>11.0</v>
      </c>
      <c r="E289" s="5">
        <v>1.0</v>
      </c>
      <c r="F289" s="11">
        <v>352.0</v>
      </c>
      <c r="G289" s="20">
        <v>153.0</v>
      </c>
      <c r="H289" s="5">
        <v>2.0</v>
      </c>
      <c r="I289" s="5">
        <v>1.0</v>
      </c>
      <c r="J289" s="11">
        <f t="shared" si="1"/>
        <v>3.52</v>
      </c>
      <c r="K289" s="5" t="s">
        <v>57</v>
      </c>
      <c r="L289" s="27">
        <v>43204.0</v>
      </c>
      <c r="M289" s="9"/>
      <c r="N289" s="9"/>
      <c r="O289" s="8" t="s">
        <v>25</v>
      </c>
    </row>
    <row r="290" ht="15.75" customHeight="1">
      <c r="D290" s="13">
        <v>1.0</v>
      </c>
      <c r="F290" s="11"/>
      <c r="G290" s="20"/>
      <c r="J290" s="11">
        <f t="shared" si="1"/>
        <v>0</v>
      </c>
      <c r="L290" s="27">
        <v>43204.0</v>
      </c>
      <c r="M290" s="7"/>
      <c r="N290" s="7"/>
      <c r="O290" s="8" t="s">
        <v>25</v>
      </c>
    </row>
    <row r="291" ht="15.75" customHeight="1">
      <c r="B291" s="22" t="s">
        <v>60</v>
      </c>
      <c r="C291" s="22">
        <v>1.0</v>
      </c>
      <c r="D291" s="22">
        <v>12.0</v>
      </c>
      <c r="E291" s="22">
        <v>1.0</v>
      </c>
      <c r="F291" s="22">
        <v>437.0</v>
      </c>
      <c r="G291" s="48">
        <v>20.0</v>
      </c>
      <c r="H291" s="22">
        <v>5.0</v>
      </c>
      <c r="I291" s="22">
        <v>1.0</v>
      </c>
      <c r="J291" s="11">
        <f t="shared" si="1"/>
        <v>4.37</v>
      </c>
      <c r="K291" s="22"/>
      <c r="L291" s="29">
        <v>43204.0</v>
      </c>
      <c r="M291" s="24"/>
      <c r="N291" s="24"/>
      <c r="O291" s="25" t="s">
        <v>25</v>
      </c>
    </row>
    <row r="292" ht="15.75" customHeight="1">
      <c r="D292" s="5">
        <v>7.0</v>
      </c>
      <c r="F292" s="11"/>
      <c r="G292" s="20"/>
      <c r="J292" s="11">
        <f t="shared" si="1"/>
        <v>0</v>
      </c>
      <c r="L292" s="34">
        <v>43246.0</v>
      </c>
      <c r="O292" s="8" t="s">
        <v>25</v>
      </c>
      <c r="R292" s="9">
        <v>0.004166666666666667</v>
      </c>
    </row>
    <row r="293" ht="15.75" customHeight="1">
      <c r="B293" s="5" t="s">
        <v>60</v>
      </c>
      <c r="C293" s="5">
        <v>1.0</v>
      </c>
      <c r="D293" s="13">
        <v>3.0</v>
      </c>
      <c r="E293" s="5">
        <v>3.0</v>
      </c>
      <c r="F293" s="11">
        <v>110.0</v>
      </c>
      <c r="G293" s="20">
        <v>40.0</v>
      </c>
      <c r="H293" s="5">
        <v>5.0</v>
      </c>
      <c r="I293" s="5">
        <v>1.0</v>
      </c>
      <c r="J293" s="11">
        <f t="shared" si="1"/>
        <v>1.1</v>
      </c>
      <c r="L293" s="34">
        <v>43246.0</v>
      </c>
      <c r="O293" s="8" t="s">
        <v>25</v>
      </c>
      <c r="P293" s="5" t="s">
        <v>64</v>
      </c>
      <c r="R293" s="9">
        <v>0.005555555555555556</v>
      </c>
    </row>
    <row r="294" ht="15.75" customHeight="1">
      <c r="D294" s="5">
        <v>9.0</v>
      </c>
      <c r="F294" s="11"/>
      <c r="G294" s="20"/>
      <c r="J294" s="11">
        <f t="shared" si="1"/>
        <v>0</v>
      </c>
      <c r="L294" s="27">
        <v>43246.0</v>
      </c>
      <c r="O294" s="8" t="s">
        <v>25</v>
      </c>
      <c r="R294" s="9">
        <v>0.013888888888888888</v>
      </c>
    </row>
    <row r="295" ht="15.75" customHeight="1">
      <c r="B295" s="5" t="s">
        <v>60</v>
      </c>
      <c r="C295" s="5">
        <v>1.0</v>
      </c>
      <c r="D295" s="5">
        <v>10.0</v>
      </c>
      <c r="E295" s="5">
        <v>1.0</v>
      </c>
      <c r="F295" s="11">
        <v>524.0</v>
      </c>
      <c r="G295" s="20">
        <v>250.0</v>
      </c>
      <c r="H295" s="5">
        <v>2.0</v>
      </c>
      <c r="I295" s="5">
        <v>5.0</v>
      </c>
      <c r="J295" s="11">
        <f t="shared" si="1"/>
        <v>5.24</v>
      </c>
      <c r="L295" s="27">
        <v>43246.0</v>
      </c>
      <c r="O295" s="8" t="s">
        <v>25</v>
      </c>
      <c r="P295" s="5" t="s">
        <v>64</v>
      </c>
      <c r="R295" s="9">
        <v>0.0062499999999999995</v>
      </c>
    </row>
    <row r="296" ht="15.75" customHeight="1">
      <c r="B296" s="5" t="s">
        <v>60</v>
      </c>
      <c r="C296" s="5">
        <v>1.0</v>
      </c>
      <c r="D296" s="13">
        <v>5.0</v>
      </c>
      <c r="E296" s="5">
        <v>2.0</v>
      </c>
      <c r="F296" s="11">
        <v>430.0</v>
      </c>
      <c r="G296" s="20">
        <v>0.0</v>
      </c>
      <c r="H296" s="5">
        <v>5.0</v>
      </c>
      <c r="I296" s="5">
        <v>1.0</v>
      </c>
      <c r="J296" s="11">
        <f t="shared" si="1"/>
        <v>4.3</v>
      </c>
      <c r="L296" s="27">
        <v>43246.0</v>
      </c>
      <c r="O296" s="8" t="s">
        <v>25</v>
      </c>
      <c r="R296" s="9">
        <v>0.003472222222222222</v>
      </c>
    </row>
    <row r="297" ht="15.75" customHeight="1">
      <c r="B297" s="5" t="s">
        <v>60</v>
      </c>
      <c r="C297" s="5">
        <v>1.0</v>
      </c>
      <c r="D297" s="5">
        <v>8.0</v>
      </c>
      <c r="E297" s="5">
        <v>1.0</v>
      </c>
      <c r="F297" s="11">
        <v>290.0</v>
      </c>
      <c r="G297" s="20">
        <v>110.0</v>
      </c>
      <c r="H297" s="5">
        <v>5.0</v>
      </c>
      <c r="I297" s="5">
        <v>1.0</v>
      </c>
      <c r="J297" s="11">
        <f t="shared" si="1"/>
        <v>2.9</v>
      </c>
      <c r="L297" s="27">
        <v>43246.0</v>
      </c>
      <c r="O297" s="8" t="s">
        <v>25</v>
      </c>
      <c r="P297" s="5" t="s">
        <v>64</v>
      </c>
      <c r="R297" s="9">
        <v>0.006944444444444444</v>
      </c>
    </row>
    <row r="298" ht="15.75" customHeight="1">
      <c r="B298" s="5" t="s">
        <v>60</v>
      </c>
      <c r="C298" s="5">
        <v>1.0</v>
      </c>
      <c r="D298" s="5">
        <v>8.0</v>
      </c>
      <c r="E298" s="5">
        <v>1.0</v>
      </c>
      <c r="F298" s="11">
        <v>290.0</v>
      </c>
      <c r="G298" s="20">
        <v>190.0</v>
      </c>
      <c r="H298" s="5">
        <v>5.0</v>
      </c>
      <c r="I298" s="5">
        <v>5.0</v>
      </c>
      <c r="J298" s="11">
        <f t="shared" si="1"/>
        <v>2.9</v>
      </c>
      <c r="L298" s="27">
        <v>43246.0</v>
      </c>
      <c r="O298" s="8" t="s">
        <v>25</v>
      </c>
    </row>
    <row r="299" ht="15.75" customHeight="1">
      <c r="B299" s="5" t="s">
        <v>60</v>
      </c>
      <c r="C299" s="5">
        <v>1.0</v>
      </c>
      <c r="D299" s="5">
        <v>8.0</v>
      </c>
      <c r="E299" s="5">
        <v>1.0</v>
      </c>
      <c r="F299" s="11">
        <v>320.0</v>
      </c>
      <c r="G299" s="20">
        <v>204.0</v>
      </c>
      <c r="H299" s="5">
        <v>5.0</v>
      </c>
      <c r="I299" s="5">
        <v>5.0</v>
      </c>
      <c r="J299" s="11">
        <f t="shared" si="1"/>
        <v>3.2</v>
      </c>
      <c r="L299" s="27">
        <v>43246.0</v>
      </c>
      <c r="O299" s="8" t="s">
        <v>25</v>
      </c>
    </row>
    <row r="300" ht="15.75" customHeight="1">
      <c r="D300" s="13">
        <v>6.0</v>
      </c>
      <c r="F300" s="11"/>
      <c r="G300" s="20"/>
      <c r="J300" s="11">
        <f t="shared" si="1"/>
        <v>0</v>
      </c>
      <c r="L300" s="27">
        <v>43246.0</v>
      </c>
      <c r="O300" s="8" t="s">
        <v>25</v>
      </c>
      <c r="R300" s="9">
        <v>0.006944444444444444</v>
      </c>
    </row>
    <row r="301" ht="15.75" customHeight="1">
      <c r="B301" s="5" t="s">
        <v>60</v>
      </c>
      <c r="C301" s="5">
        <v>1.0</v>
      </c>
      <c r="D301" s="5">
        <v>11.0</v>
      </c>
      <c r="E301" s="5">
        <v>1.0</v>
      </c>
      <c r="F301" s="11">
        <v>592.0</v>
      </c>
      <c r="G301" s="20">
        <v>140.0</v>
      </c>
      <c r="H301" s="5">
        <v>2.0</v>
      </c>
      <c r="I301" s="5">
        <v>1.0</v>
      </c>
      <c r="J301" s="11">
        <f t="shared" si="1"/>
        <v>5.92</v>
      </c>
      <c r="L301" s="27">
        <v>43246.0</v>
      </c>
      <c r="O301" s="8" t="s">
        <v>25</v>
      </c>
      <c r="R301" s="9">
        <v>0.003472222222222222</v>
      </c>
    </row>
    <row r="302" ht="15.75" customHeight="1">
      <c r="B302" s="5" t="s">
        <v>60</v>
      </c>
      <c r="C302" s="5">
        <v>1.0</v>
      </c>
      <c r="D302" s="5">
        <v>11.0</v>
      </c>
      <c r="E302" s="5">
        <v>1.0</v>
      </c>
      <c r="F302" s="11">
        <v>770.0</v>
      </c>
      <c r="G302" s="20">
        <v>107.0</v>
      </c>
      <c r="H302" s="5">
        <v>2.0</v>
      </c>
      <c r="I302" s="5">
        <v>1.0</v>
      </c>
      <c r="J302" s="11">
        <f t="shared" si="1"/>
        <v>7.7</v>
      </c>
      <c r="L302" s="27">
        <v>43246.0</v>
      </c>
      <c r="O302" s="8" t="s">
        <v>25</v>
      </c>
    </row>
    <row r="303" ht="15.75" customHeight="1">
      <c r="D303" s="5">
        <v>12.0</v>
      </c>
      <c r="F303" s="11"/>
      <c r="G303" s="20"/>
      <c r="J303" s="11">
        <f t="shared" si="1"/>
        <v>0</v>
      </c>
      <c r="L303" s="27">
        <v>43246.0</v>
      </c>
      <c r="O303" s="8" t="s">
        <v>25</v>
      </c>
      <c r="R303" s="9">
        <v>0.010416666666666666</v>
      </c>
    </row>
    <row r="304" ht="15.75" customHeight="1">
      <c r="B304" s="22"/>
      <c r="C304" s="22"/>
      <c r="D304" s="35">
        <v>1.0</v>
      </c>
      <c r="E304" s="22"/>
      <c r="F304" s="22"/>
      <c r="G304" s="48"/>
      <c r="H304" s="22"/>
      <c r="I304" s="22"/>
      <c r="J304" s="11">
        <f t="shared" si="1"/>
        <v>0</v>
      </c>
      <c r="K304" s="22"/>
      <c r="L304" s="29">
        <v>43246.0</v>
      </c>
      <c r="M304" s="22"/>
      <c r="N304" s="22"/>
      <c r="O304" s="25" t="s">
        <v>25</v>
      </c>
      <c r="R304" s="9">
        <v>0.006944444444444444</v>
      </c>
    </row>
    <row r="305" ht="15.75" customHeight="1">
      <c r="B305" s="5" t="s">
        <v>60</v>
      </c>
      <c r="C305" s="5">
        <v>1.0</v>
      </c>
      <c r="D305" s="5">
        <v>7.0</v>
      </c>
      <c r="E305" s="5">
        <v>1.0</v>
      </c>
      <c r="F305" s="11">
        <v>188.0</v>
      </c>
      <c r="G305" s="20">
        <v>130.0</v>
      </c>
      <c r="H305" s="5">
        <v>2.0</v>
      </c>
      <c r="I305" s="5">
        <v>5.0</v>
      </c>
      <c r="J305" s="11">
        <f t="shared" si="1"/>
        <v>1.88</v>
      </c>
      <c r="L305" s="34">
        <v>43277.0</v>
      </c>
      <c r="O305" s="8" t="s">
        <v>65</v>
      </c>
      <c r="R305" s="9">
        <v>0.0062499999999999995</v>
      </c>
    </row>
    <row r="306" ht="15.75" customHeight="1">
      <c r="D306" s="13">
        <v>4.0</v>
      </c>
      <c r="F306" s="11"/>
      <c r="G306" s="20"/>
      <c r="J306" s="11">
        <f t="shared" si="1"/>
        <v>0</v>
      </c>
      <c r="L306" s="27">
        <v>43277.0</v>
      </c>
      <c r="O306" s="8" t="s">
        <v>65</v>
      </c>
      <c r="R306" s="9">
        <v>0.004166666666666667</v>
      </c>
    </row>
    <row r="307" ht="15.75" customHeight="1">
      <c r="D307" s="13">
        <v>3.0</v>
      </c>
      <c r="F307" s="11"/>
      <c r="G307" s="20"/>
      <c r="J307" s="11">
        <f t="shared" si="1"/>
        <v>0</v>
      </c>
      <c r="L307" s="27">
        <v>43277.0</v>
      </c>
      <c r="O307" s="8" t="s">
        <v>65</v>
      </c>
      <c r="R307" s="9">
        <v>0.006944444444444444</v>
      </c>
    </row>
    <row r="308" ht="15.75" customHeight="1">
      <c r="D308" s="5">
        <v>9.0</v>
      </c>
      <c r="F308" s="11"/>
      <c r="G308" s="20"/>
      <c r="J308" s="11">
        <f t="shared" si="1"/>
        <v>0</v>
      </c>
      <c r="L308" s="27">
        <v>43277.0</v>
      </c>
      <c r="O308" s="8" t="s">
        <v>65</v>
      </c>
      <c r="R308" s="9">
        <v>0.007638888888888889</v>
      </c>
    </row>
    <row r="309" ht="15.75" customHeight="1">
      <c r="B309" s="5" t="s">
        <v>60</v>
      </c>
      <c r="C309" s="5">
        <v>1.0</v>
      </c>
      <c r="D309" s="5">
        <v>10.0</v>
      </c>
      <c r="E309" s="5">
        <v>2.0</v>
      </c>
      <c r="F309" s="11">
        <v>350.0</v>
      </c>
      <c r="G309" s="20">
        <v>75.0</v>
      </c>
      <c r="H309" s="5">
        <v>2.0</v>
      </c>
      <c r="I309" s="5">
        <v>1.0</v>
      </c>
      <c r="J309" s="11">
        <f t="shared" si="1"/>
        <v>3.5</v>
      </c>
      <c r="L309" s="27">
        <v>43277.0</v>
      </c>
      <c r="O309" s="8" t="s">
        <v>65</v>
      </c>
    </row>
    <row r="310" ht="15.75" customHeight="1">
      <c r="B310" s="5" t="s">
        <v>60</v>
      </c>
      <c r="C310" s="5">
        <v>1.0</v>
      </c>
      <c r="D310" s="5">
        <v>10.0</v>
      </c>
      <c r="E310" s="5">
        <v>1.0</v>
      </c>
      <c r="F310" s="11">
        <v>478.0</v>
      </c>
      <c r="G310" s="20">
        <v>120.0</v>
      </c>
      <c r="H310" s="5">
        <v>2.0</v>
      </c>
      <c r="I310" s="5">
        <v>1.0</v>
      </c>
      <c r="J310" s="11">
        <f t="shared" si="1"/>
        <v>4.78</v>
      </c>
      <c r="L310" s="27">
        <v>43277.0</v>
      </c>
      <c r="O310" s="8" t="s">
        <v>65</v>
      </c>
      <c r="R310" s="9">
        <v>0.004166666666666667</v>
      </c>
    </row>
    <row r="311" ht="15.75" customHeight="1">
      <c r="B311" s="5" t="s">
        <v>60</v>
      </c>
      <c r="C311" s="5">
        <v>1.0</v>
      </c>
      <c r="D311" s="13">
        <v>2.0</v>
      </c>
      <c r="E311" s="5">
        <v>1.0</v>
      </c>
      <c r="F311" s="11">
        <v>491.0</v>
      </c>
      <c r="G311" s="20">
        <v>100.0</v>
      </c>
      <c r="H311" s="5">
        <v>5.0</v>
      </c>
      <c r="I311" s="5">
        <v>5.0</v>
      </c>
      <c r="J311" s="11">
        <f t="shared" si="1"/>
        <v>4.91</v>
      </c>
      <c r="L311" s="27">
        <v>43277.0</v>
      </c>
      <c r="O311" s="8" t="s">
        <v>65</v>
      </c>
      <c r="R311" s="9">
        <v>0.0062499999999999995</v>
      </c>
    </row>
    <row r="312" ht="15.75" customHeight="1">
      <c r="B312" s="5" t="s">
        <v>60</v>
      </c>
      <c r="C312" s="5">
        <v>1.0</v>
      </c>
      <c r="D312" s="13">
        <v>2.0</v>
      </c>
      <c r="E312" s="5">
        <v>2.0</v>
      </c>
      <c r="F312" s="11">
        <v>156.0</v>
      </c>
      <c r="G312" s="20">
        <v>40.0</v>
      </c>
      <c r="H312" s="5">
        <v>5.0</v>
      </c>
      <c r="I312" s="5">
        <v>1.0</v>
      </c>
      <c r="J312" s="11">
        <f t="shared" si="1"/>
        <v>1.56</v>
      </c>
      <c r="L312" s="27">
        <v>43277.0</v>
      </c>
      <c r="O312" s="8" t="s">
        <v>65</v>
      </c>
    </row>
    <row r="313" ht="15.75" customHeight="1">
      <c r="B313" s="5" t="s">
        <v>60</v>
      </c>
      <c r="C313" s="5">
        <v>1.0</v>
      </c>
      <c r="D313" s="13">
        <v>2.0</v>
      </c>
      <c r="E313" s="5">
        <v>2.0</v>
      </c>
      <c r="F313" s="11">
        <v>450.0</v>
      </c>
      <c r="G313" s="20">
        <v>0.0</v>
      </c>
      <c r="H313" s="5">
        <v>5.0</v>
      </c>
      <c r="I313" s="5">
        <v>1.0</v>
      </c>
      <c r="J313" s="11">
        <f t="shared" si="1"/>
        <v>4.5</v>
      </c>
      <c r="L313" s="27">
        <v>43277.0</v>
      </c>
      <c r="O313" s="8" t="s">
        <v>65</v>
      </c>
    </row>
    <row r="314" ht="15.75" customHeight="1">
      <c r="B314" s="5" t="s">
        <v>60</v>
      </c>
      <c r="C314" s="5">
        <v>1.0</v>
      </c>
      <c r="D314" s="5">
        <v>8.0</v>
      </c>
      <c r="E314" s="5">
        <v>1.0</v>
      </c>
      <c r="F314" s="11">
        <v>388.0</v>
      </c>
      <c r="G314" s="20">
        <v>300.0</v>
      </c>
      <c r="H314" s="5">
        <v>2.0</v>
      </c>
      <c r="I314" s="5">
        <v>1.0</v>
      </c>
      <c r="J314" s="11">
        <f t="shared" si="1"/>
        <v>3.88</v>
      </c>
      <c r="L314" s="27">
        <v>43277.0</v>
      </c>
      <c r="O314" s="8" t="s">
        <v>25</v>
      </c>
    </row>
    <row r="315" ht="15.75" customHeight="1">
      <c r="B315" s="5" t="s">
        <v>60</v>
      </c>
      <c r="C315" s="5">
        <v>1.0</v>
      </c>
      <c r="D315" s="5">
        <v>8.0</v>
      </c>
      <c r="E315" s="5">
        <v>1.0</v>
      </c>
      <c r="F315" s="11">
        <v>523.0</v>
      </c>
      <c r="G315" s="20">
        <v>230.0</v>
      </c>
      <c r="H315" s="5">
        <v>5.0</v>
      </c>
      <c r="I315" s="5">
        <v>1.0</v>
      </c>
      <c r="J315" s="11">
        <f t="shared" si="1"/>
        <v>5.23</v>
      </c>
      <c r="L315" s="27">
        <v>43277.0</v>
      </c>
      <c r="O315" s="8" t="s">
        <v>25</v>
      </c>
    </row>
    <row r="316" ht="15.75" customHeight="1">
      <c r="B316" s="5" t="s">
        <v>60</v>
      </c>
      <c r="C316" s="5">
        <v>1.0</v>
      </c>
      <c r="D316" s="5">
        <v>8.0</v>
      </c>
      <c r="E316" s="5">
        <v>1.0</v>
      </c>
      <c r="F316" s="11">
        <v>1682.0</v>
      </c>
      <c r="G316" s="20">
        <v>0.0</v>
      </c>
      <c r="H316" s="5">
        <v>6.0</v>
      </c>
      <c r="I316" s="5">
        <v>5.0</v>
      </c>
      <c r="J316" s="11">
        <f t="shared" si="1"/>
        <v>16.82</v>
      </c>
      <c r="L316" s="27">
        <v>43277.0</v>
      </c>
      <c r="O316" s="8" t="s">
        <v>25</v>
      </c>
    </row>
    <row r="317" ht="15.75" customHeight="1">
      <c r="B317" s="5" t="s">
        <v>60</v>
      </c>
      <c r="C317" s="5">
        <v>1.0</v>
      </c>
      <c r="D317" s="13">
        <v>6.0</v>
      </c>
      <c r="E317" s="5">
        <v>1.0</v>
      </c>
      <c r="F317" s="11">
        <v>1580.0</v>
      </c>
      <c r="G317" s="20">
        <v>60.0</v>
      </c>
      <c r="H317" s="5">
        <v>5.0</v>
      </c>
      <c r="I317" s="5">
        <v>1.0</v>
      </c>
      <c r="J317" s="11">
        <f t="shared" si="1"/>
        <v>15.8</v>
      </c>
      <c r="L317" s="27">
        <v>43277.0</v>
      </c>
      <c r="O317" s="8" t="s">
        <v>25</v>
      </c>
      <c r="R317" s="9">
        <v>0.005555555555555556</v>
      </c>
    </row>
    <row r="318" ht="15.75" customHeight="1">
      <c r="B318" s="5" t="s">
        <v>60</v>
      </c>
      <c r="C318" s="5">
        <v>1.0</v>
      </c>
      <c r="D318" s="5">
        <v>11.0</v>
      </c>
      <c r="E318" s="5">
        <v>1.0</v>
      </c>
      <c r="F318" s="11">
        <v>200.0</v>
      </c>
      <c r="G318" s="20">
        <v>250.0</v>
      </c>
      <c r="H318" s="5">
        <v>4.0</v>
      </c>
      <c r="I318" s="5">
        <v>1.0</v>
      </c>
      <c r="J318" s="11">
        <f t="shared" si="1"/>
        <v>2</v>
      </c>
      <c r="K318" s="5" t="s">
        <v>57</v>
      </c>
      <c r="L318" s="27">
        <v>43277.0</v>
      </c>
      <c r="O318" s="8" t="s">
        <v>25</v>
      </c>
      <c r="R318" s="9">
        <v>0.003472222222222222</v>
      </c>
    </row>
    <row r="319" ht="15.75" customHeight="1">
      <c r="B319" s="5" t="s">
        <v>60</v>
      </c>
      <c r="C319" s="5">
        <v>1.0</v>
      </c>
      <c r="D319" s="5">
        <v>11.0</v>
      </c>
      <c r="E319" s="5">
        <v>1.0</v>
      </c>
      <c r="F319" s="11">
        <v>200.0</v>
      </c>
      <c r="G319" s="20">
        <v>250.0</v>
      </c>
      <c r="H319" s="5">
        <v>4.0</v>
      </c>
      <c r="I319" s="5">
        <v>1.0</v>
      </c>
      <c r="J319" s="11">
        <f t="shared" si="1"/>
        <v>2</v>
      </c>
      <c r="K319" s="5" t="s">
        <v>55</v>
      </c>
      <c r="L319" s="27">
        <v>43277.0</v>
      </c>
      <c r="O319" s="8" t="s">
        <v>25</v>
      </c>
    </row>
    <row r="320" ht="15.75" customHeight="1">
      <c r="B320" s="5" t="s">
        <v>60</v>
      </c>
      <c r="C320" s="5">
        <v>1.0</v>
      </c>
      <c r="D320" s="5">
        <v>12.0</v>
      </c>
      <c r="E320" s="5">
        <v>1.0</v>
      </c>
      <c r="F320" s="11">
        <v>167.0</v>
      </c>
      <c r="G320" s="20">
        <v>0.0</v>
      </c>
      <c r="H320" s="5">
        <v>6.0</v>
      </c>
      <c r="I320" s="5">
        <v>3.0</v>
      </c>
      <c r="J320" s="11">
        <f t="shared" si="1"/>
        <v>1.67</v>
      </c>
      <c r="K320" s="5" t="s">
        <v>57</v>
      </c>
      <c r="L320" s="27">
        <v>43277.0</v>
      </c>
      <c r="O320" s="8" t="s">
        <v>25</v>
      </c>
      <c r="R320" s="9">
        <v>0.004166666666666667</v>
      </c>
    </row>
    <row r="321" ht="15.75" customHeight="1">
      <c r="B321" s="5" t="s">
        <v>60</v>
      </c>
      <c r="C321" s="5">
        <v>1.0</v>
      </c>
      <c r="D321" s="5">
        <v>12.0</v>
      </c>
      <c r="E321" s="5">
        <v>2.0</v>
      </c>
      <c r="F321" s="11">
        <v>330.0</v>
      </c>
      <c r="G321" s="20">
        <v>120.0</v>
      </c>
      <c r="H321" s="5">
        <v>5.0</v>
      </c>
      <c r="I321" s="5">
        <v>5.0</v>
      </c>
      <c r="J321" s="11">
        <f t="shared" si="1"/>
        <v>3.3</v>
      </c>
      <c r="L321" s="27">
        <v>43277.0</v>
      </c>
      <c r="O321" s="8" t="s">
        <v>25</v>
      </c>
    </row>
    <row r="322" ht="15.75" customHeight="1">
      <c r="B322" s="5" t="s">
        <v>60</v>
      </c>
      <c r="C322" s="5">
        <v>1.0</v>
      </c>
      <c r="D322" s="5">
        <v>12.0</v>
      </c>
      <c r="E322" s="5">
        <v>1.0</v>
      </c>
      <c r="F322" s="11">
        <v>357.0</v>
      </c>
      <c r="G322" s="20">
        <v>120.0</v>
      </c>
      <c r="H322" s="5">
        <v>5.0</v>
      </c>
      <c r="I322" s="5">
        <v>1.0</v>
      </c>
      <c r="J322" s="11">
        <f t="shared" si="1"/>
        <v>3.57</v>
      </c>
      <c r="K322" s="5" t="s">
        <v>55</v>
      </c>
      <c r="L322" s="27">
        <v>43277.0</v>
      </c>
      <c r="O322" s="8" t="s">
        <v>25</v>
      </c>
    </row>
    <row r="323" ht="15.75" customHeight="1">
      <c r="B323" s="5" t="s">
        <v>60</v>
      </c>
      <c r="C323" s="22">
        <v>1.0</v>
      </c>
      <c r="D323" s="22">
        <v>12.0</v>
      </c>
      <c r="E323" s="22">
        <v>1.0</v>
      </c>
      <c r="F323" s="22">
        <v>440.0</v>
      </c>
      <c r="G323" s="48">
        <v>160.0</v>
      </c>
      <c r="H323" s="22">
        <v>5.0</v>
      </c>
      <c r="I323" s="22">
        <v>1.0</v>
      </c>
      <c r="J323" s="11">
        <f t="shared" si="1"/>
        <v>4.4</v>
      </c>
      <c r="K323" s="22"/>
      <c r="L323" s="29">
        <v>43277.0</v>
      </c>
      <c r="M323" s="22"/>
      <c r="N323" s="22"/>
      <c r="O323" s="25" t="s">
        <v>25</v>
      </c>
    </row>
    <row r="324" ht="15.75" customHeight="1">
      <c r="B324" s="5" t="s">
        <v>60</v>
      </c>
      <c r="C324" s="5">
        <v>1.0</v>
      </c>
      <c r="D324" s="5">
        <v>7.0</v>
      </c>
      <c r="E324" s="5">
        <v>1.0</v>
      </c>
      <c r="F324" s="11">
        <v>160.0</v>
      </c>
      <c r="G324" s="20">
        <v>306.0</v>
      </c>
      <c r="H324" s="5">
        <v>2.0</v>
      </c>
      <c r="I324" s="5">
        <v>1.0</v>
      </c>
      <c r="J324" s="11">
        <f t="shared" si="1"/>
        <v>1.6</v>
      </c>
      <c r="L324" s="34">
        <v>43308.0</v>
      </c>
      <c r="O324" s="8" t="s">
        <v>74</v>
      </c>
      <c r="R324" s="9">
        <v>0.007638888888888889</v>
      </c>
    </row>
    <row r="325" ht="15.75" customHeight="1">
      <c r="B325" s="5" t="s">
        <v>60</v>
      </c>
      <c r="C325" s="5">
        <v>1.0</v>
      </c>
      <c r="D325" s="13">
        <v>4.0</v>
      </c>
      <c r="E325" s="5">
        <v>1.0</v>
      </c>
      <c r="F325" s="11">
        <v>780.0</v>
      </c>
      <c r="G325" s="20">
        <v>180.0</v>
      </c>
      <c r="H325" s="5">
        <v>1.0</v>
      </c>
      <c r="I325" s="5">
        <v>5.0</v>
      </c>
      <c r="J325" s="11">
        <f t="shared" si="1"/>
        <v>7.8</v>
      </c>
      <c r="L325" s="34">
        <v>43308.0</v>
      </c>
      <c r="O325" s="8" t="s">
        <v>74</v>
      </c>
    </row>
    <row r="326" ht="15.75" customHeight="1">
      <c r="B326" s="5" t="s">
        <v>60</v>
      </c>
      <c r="C326" s="5">
        <v>1.0</v>
      </c>
      <c r="D326" s="5">
        <v>10.0</v>
      </c>
      <c r="E326" s="5">
        <v>1.0</v>
      </c>
      <c r="F326" s="11">
        <v>489.0</v>
      </c>
      <c r="G326" s="20">
        <v>70.0</v>
      </c>
      <c r="H326" s="5">
        <v>2.0</v>
      </c>
      <c r="I326" s="5">
        <v>1.0</v>
      </c>
      <c r="J326" s="11">
        <f t="shared" si="1"/>
        <v>4.89</v>
      </c>
      <c r="L326" s="34">
        <v>43308.0</v>
      </c>
      <c r="O326" s="8" t="s">
        <v>74</v>
      </c>
    </row>
    <row r="327" ht="15.75" customHeight="1">
      <c r="B327" s="5" t="s">
        <v>60</v>
      </c>
      <c r="C327" s="5">
        <v>1.0</v>
      </c>
      <c r="D327" s="5">
        <v>10.0</v>
      </c>
      <c r="E327" s="5">
        <v>2.0</v>
      </c>
      <c r="F327" s="11">
        <v>404.0</v>
      </c>
      <c r="G327" s="20">
        <v>402.0</v>
      </c>
      <c r="H327" s="5">
        <v>2.0</v>
      </c>
      <c r="I327" s="5">
        <v>1.0</v>
      </c>
      <c r="J327" s="11">
        <f t="shared" si="1"/>
        <v>4.04</v>
      </c>
      <c r="L327" s="27">
        <v>43308.0</v>
      </c>
      <c r="O327" s="8" t="s">
        <v>74</v>
      </c>
    </row>
    <row r="328" ht="15.75" customHeight="1">
      <c r="B328" s="5" t="s">
        <v>60</v>
      </c>
      <c r="C328" s="5">
        <v>1.0</v>
      </c>
      <c r="D328" s="5">
        <v>10.0</v>
      </c>
      <c r="E328" s="5">
        <v>2.0</v>
      </c>
      <c r="F328" s="11">
        <v>429.0</v>
      </c>
      <c r="G328" s="20">
        <v>167.0</v>
      </c>
      <c r="H328" s="5">
        <v>2.0</v>
      </c>
      <c r="I328" s="5">
        <v>1.0</v>
      </c>
      <c r="J328" s="11">
        <f t="shared" si="1"/>
        <v>4.29</v>
      </c>
      <c r="L328" s="27">
        <v>43308.0</v>
      </c>
      <c r="O328" s="8" t="s">
        <v>74</v>
      </c>
    </row>
    <row r="329" ht="15.75" customHeight="1">
      <c r="B329" s="5" t="s">
        <v>60</v>
      </c>
      <c r="C329" s="5">
        <v>1.0</v>
      </c>
      <c r="D329" s="5">
        <v>10.0</v>
      </c>
      <c r="E329" s="5">
        <v>1.0</v>
      </c>
      <c r="F329" s="11">
        <v>340.0</v>
      </c>
      <c r="G329" s="20">
        <v>180.0</v>
      </c>
      <c r="H329" s="5">
        <v>2.0</v>
      </c>
      <c r="I329" s="5">
        <v>1.0</v>
      </c>
      <c r="J329" s="11">
        <f t="shared" si="1"/>
        <v>3.4</v>
      </c>
      <c r="L329" s="27">
        <v>43308.0</v>
      </c>
      <c r="O329" s="8" t="s">
        <v>74</v>
      </c>
    </row>
    <row r="330" ht="15.75" customHeight="1">
      <c r="B330" s="5" t="s">
        <v>60</v>
      </c>
      <c r="C330" s="5">
        <v>1.0</v>
      </c>
      <c r="D330" s="5">
        <v>10.0</v>
      </c>
      <c r="E330" s="5">
        <v>2.0</v>
      </c>
      <c r="F330" s="11">
        <v>562.0</v>
      </c>
      <c r="G330" s="20">
        <v>150.0</v>
      </c>
      <c r="H330" s="5">
        <v>2.0</v>
      </c>
      <c r="I330" s="5">
        <v>1.0</v>
      </c>
      <c r="J330" s="11">
        <f t="shared" si="1"/>
        <v>5.62</v>
      </c>
      <c r="L330" s="27">
        <v>43308.0</v>
      </c>
      <c r="O330" s="8" t="s">
        <v>74</v>
      </c>
    </row>
    <row r="331" ht="15.75" customHeight="1">
      <c r="B331" s="5" t="s">
        <v>60</v>
      </c>
      <c r="C331" s="5">
        <v>1.0</v>
      </c>
      <c r="D331" s="13">
        <v>2.0</v>
      </c>
      <c r="E331" s="5">
        <v>2.0</v>
      </c>
      <c r="F331" s="11">
        <v>255.0</v>
      </c>
      <c r="G331" s="20">
        <v>205.0</v>
      </c>
      <c r="H331" s="5">
        <v>1.0</v>
      </c>
      <c r="I331" s="5">
        <v>1.0</v>
      </c>
      <c r="J331" s="11">
        <f t="shared" si="1"/>
        <v>2.55</v>
      </c>
      <c r="L331" s="27">
        <v>43308.0</v>
      </c>
      <c r="O331" s="8" t="s">
        <v>25</v>
      </c>
      <c r="R331" s="9">
        <v>0.005555555555555556</v>
      </c>
    </row>
    <row r="332" ht="15.75" customHeight="1">
      <c r="B332" s="5" t="s">
        <v>60</v>
      </c>
      <c r="C332" s="5">
        <v>1.0</v>
      </c>
      <c r="D332" s="13">
        <v>2.0</v>
      </c>
      <c r="E332" s="5">
        <v>1.0</v>
      </c>
      <c r="F332" s="11">
        <v>326.0</v>
      </c>
      <c r="G332" s="20">
        <v>0.0</v>
      </c>
      <c r="H332" s="5">
        <v>5.0</v>
      </c>
      <c r="I332" s="5">
        <v>1.0</v>
      </c>
      <c r="J332" s="11">
        <f t="shared" si="1"/>
        <v>3.26</v>
      </c>
      <c r="L332" s="27">
        <v>43308.0</v>
      </c>
      <c r="O332" s="8" t="s">
        <v>25</v>
      </c>
      <c r="R332" s="9"/>
    </row>
    <row r="333" ht="15.75" customHeight="1">
      <c r="B333" s="5" t="s">
        <v>60</v>
      </c>
      <c r="C333" s="5">
        <v>1.0</v>
      </c>
      <c r="D333" s="5">
        <v>8.0</v>
      </c>
      <c r="E333" s="5">
        <v>1.0</v>
      </c>
      <c r="F333" s="11">
        <v>216.0</v>
      </c>
      <c r="G333" s="20">
        <v>80.0</v>
      </c>
      <c r="H333" s="5">
        <v>5.0</v>
      </c>
      <c r="I333" s="5">
        <v>1.0</v>
      </c>
      <c r="J333" s="11">
        <f t="shared" si="1"/>
        <v>2.16</v>
      </c>
      <c r="L333" s="27">
        <v>43308.0</v>
      </c>
      <c r="O333" s="8" t="s">
        <v>25</v>
      </c>
    </row>
    <row r="334" ht="15.75" customHeight="1">
      <c r="B334" s="5" t="s">
        <v>60</v>
      </c>
      <c r="C334" s="5">
        <v>1.0</v>
      </c>
      <c r="D334" s="5">
        <v>8.0</v>
      </c>
      <c r="E334" s="5">
        <v>1.0</v>
      </c>
      <c r="F334" s="11">
        <v>695.0</v>
      </c>
      <c r="G334" s="20">
        <v>312.0</v>
      </c>
      <c r="H334" s="5">
        <v>5.0</v>
      </c>
      <c r="I334" s="5">
        <v>1.0</v>
      </c>
      <c r="J334" s="11">
        <f t="shared" si="1"/>
        <v>6.95</v>
      </c>
      <c r="L334" s="27">
        <v>43308.0</v>
      </c>
      <c r="O334" s="8" t="s">
        <v>25</v>
      </c>
    </row>
    <row r="335" ht="15.75" customHeight="1">
      <c r="B335" s="5" t="s">
        <v>60</v>
      </c>
      <c r="C335" s="5">
        <v>1.0</v>
      </c>
      <c r="D335" s="5">
        <v>8.0</v>
      </c>
      <c r="E335" s="5">
        <v>2.0</v>
      </c>
      <c r="F335" s="11">
        <v>353.0</v>
      </c>
      <c r="G335" s="20">
        <v>163.0</v>
      </c>
      <c r="H335" s="5">
        <v>5.0</v>
      </c>
      <c r="I335" s="5">
        <v>1.0</v>
      </c>
      <c r="J335" s="11">
        <f t="shared" si="1"/>
        <v>3.53</v>
      </c>
      <c r="L335" s="27">
        <v>43308.0</v>
      </c>
      <c r="O335" s="8" t="s">
        <v>25</v>
      </c>
    </row>
    <row r="336" ht="15.75" customHeight="1">
      <c r="B336" s="5" t="s">
        <v>60</v>
      </c>
      <c r="C336" s="5">
        <v>1.0</v>
      </c>
      <c r="D336" s="5">
        <v>8.0</v>
      </c>
      <c r="E336" s="5">
        <v>2.0</v>
      </c>
      <c r="F336" s="11">
        <v>300.0</v>
      </c>
      <c r="G336" s="20">
        <v>170.0</v>
      </c>
      <c r="H336" s="5">
        <v>5.0</v>
      </c>
      <c r="I336" s="5">
        <v>1.0</v>
      </c>
      <c r="J336" s="11">
        <f t="shared" si="1"/>
        <v>3</v>
      </c>
      <c r="L336" s="27">
        <v>43308.0</v>
      </c>
      <c r="O336" s="8" t="s">
        <v>25</v>
      </c>
    </row>
    <row r="337" ht="15.75" customHeight="1">
      <c r="B337" s="5" t="s">
        <v>60</v>
      </c>
      <c r="C337" s="5">
        <v>1.0</v>
      </c>
      <c r="D337" s="5">
        <v>8.0</v>
      </c>
      <c r="E337" s="5">
        <v>1.0</v>
      </c>
      <c r="F337" s="11">
        <v>480.0</v>
      </c>
      <c r="G337" s="20">
        <v>130.0</v>
      </c>
      <c r="H337" s="5">
        <v>5.0</v>
      </c>
      <c r="I337" s="5">
        <v>1.0</v>
      </c>
      <c r="J337" s="11">
        <f t="shared" si="1"/>
        <v>4.8</v>
      </c>
      <c r="L337" s="27">
        <v>43308.0</v>
      </c>
      <c r="O337" s="8" t="s">
        <v>25</v>
      </c>
    </row>
    <row r="338" ht="15.75" customHeight="1">
      <c r="D338" s="13">
        <v>6.0</v>
      </c>
      <c r="F338" s="11"/>
      <c r="G338" s="20"/>
      <c r="J338" s="11">
        <f t="shared" si="1"/>
        <v>0</v>
      </c>
      <c r="L338" s="27">
        <v>43308.0</v>
      </c>
      <c r="O338" s="8" t="s">
        <v>25</v>
      </c>
      <c r="R338" s="9">
        <v>0.008333333333333333</v>
      </c>
    </row>
    <row r="339" ht="15.75" customHeight="1">
      <c r="B339" s="5" t="s">
        <v>60</v>
      </c>
      <c r="C339" s="5">
        <v>1.0</v>
      </c>
      <c r="D339" s="5">
        <v>11.0</v>
      </c>
      <c r="E339" s="5">
        <v>1.0</v>
      </c>
      <c r="F339" s="11">
        <v>708.0</v>
      </c>
      <c r="G339" s="20">
        <v>264.0</v>
      </c>
      <c r="H339" s="5">
        <v>4.0</v>
      </c>
      <c r="I339" s="5">
        <v>1.0</v>
      </c>
      <c r="J339" s="11">
        <f t="shared" si="1"/>
        <v>7.08</v>
      </c>
      <c r="L339" s="27">
        <v>43308.0</v>
      </c>
      <c r="O339" s="8" t="s">
        <v>25</v>
      </c>
      <c r="R339" s="9">
        <v>0.007638888888888889</v>
      </c>
    </row>
    <row r="340" ht="15.75" customHeight="1">
      <c r="B340" s="5" t="s">
        <v>60</v>
      </c>
      <c r="C340" s="5">
        <v>1.0</v>
      </c>
      <c r="D340" s="5">
        <v>11.0</v>
      </c>
      <c r="E340" s="5">
        <v>2.0</v>
      </c>
      <c r="F340" s="11">
        <v>433.0</v>
      </c>
      <c r="G340" s="20">
        <v>80.0</v>
      </c>
      <c r="H340" s="5">
        <v>2.0</v>
      </c>
      <c r="I340" s="5">
        <v>1.0</v>
      </c>
      <c r="J340" s="11">
        <f t="shared" si="1"/>
        <v>4.33</v>
      </c>
      <c r="L340" s="27">
        <v>43308.0</v>
      </c>
      <c r="O340" s="8" t="s">
        <v>25</v>
      </c>
    </row>
    <row r="341" ht="15.75" customHeight="1">
      <c r="B341" s="5" t="s">
        <v>60</v>
      </c>
      <c r="C341" s="5">
        <v>1.0</v>
      </c>
      <c r="D341" s="5">
        <v>11.0</v>
      </c>
      <c r="E341" s="5">
        <v>1.0</v>
      </c>
      <c r="F341" s="11">
        <v>450.0</v>
      </c>
      <c r="G341" s="20">
        <v>264.0</v>
      </c>
      <c r="H341" s="5">
        <v>2.0</v>
      </c>
      <c r="I341" s="5">
        <v>1.0</v>
      </c>
      <c r="J341" s="11">
        <f t="shared" si="1"/>
        <v>4.5</v>
      </c>
      <c r="L341" s="27">
        <v>43308.0</v>
      </c>
      <c r="O341" s="8" t="s">
        <v>25</v>
      </c>
    </row>
    <row r="342" ht="15.75" customHeight="1">
      <c r="B342" s="5" t="s">
        <v>60</v>
      </c>
      <c r="C342" s="5">
        <v>1.0</v>
      </c>
      <c r="D342" s="5">
        <v>11.0</v>
      </c>
      <c r="E342" s="5">
        <v>1.0</v>
      </c>
      <c r="F342" s="11">
        <v>380.0</v>
      </c>
      <c r="G342" s="20">
        <v>200.0</v>
      </c>
      <c r="H342" s="5">
        <v>2.0</v>
      </c>
      <c r="I342" s="5">
        <v>1.0</v>
      </c>
      <c r="J342" s="11">
        <f t="shared" si="1"/>
        <v>3.8</v>
      </c>
      <c r="L342" s="27">
        <v>43308.0</v>
      </c>
      <c r="O342" s="8" t="s">
        <v>25</v>
      </c>
    </row>
    <row r="343" ht="15.75" customHeight="1">
      <c r="B343" s="5" t="s">
        <v>60</v>
      </c>
      <c r="C343" s="5">
        <v>1.0</v>
      </c>
      <c r="D343" s="5">
        <v>11.0</v>
      </c>
      <c r="E343" s="5">
        <v>1.0</v>
      </c>
      <c r="F343" s="11">
        <v>380.0</v>
      </c>
      <c r="G343" s="20">
        <v>200.0</v>
      </c>
      <c r="H343" s="5">
        <v>2.0</v>
      </c>
      <c r="I343" s="5">
        <v>1.0</v>
      </c>
      <c r="J343" s="11">
        <f t="shared" si="1"/>
        <v>3.8</v>
      </c>
      <c r="L343" s="27">
        <v>43308.0</v>
      </c>
      <c r="O343" s="8" t="s">
        <v>25</v>
      </c>
    </row>
    <row r="344" ht="15.75" customHeight="1">
      <c r="D344" s="5">
        <v>12.0</v>
      </c>
      <c r="F344" s="11"/>
      <c r="G344" s="20"/>
      <c r="J344" s="11"/>
      <c r="L344" s="27">
        <v>43308.0</v>
      </c>
      <c r="O344" s="8" t="s">
        <v>25</v>
      </c>
      <c r="R344" s="9">
        <v>0.003472222222222222</v>
      </c>
    </row>
    <row r="345" ht="15.75" customHeight="1">
      <c r="D345" s="13">
        <v>1.0</v>
      </c>
      <c r="F345" s="11"/>
      <c r="G345" s="20"/>
      <c r="J345" s="11"/>
      <c r="L345" s="27">
        <v>43308.0</v>
      </c>
      <c r="O345" s="8" t="s">
        <v>25</v>
      </c>
      <c r="R345" s="9">
        <v>0.003472222222222222</v>
      </c>
    </row>
    <row r="346" ht="15.75" customHeight="1">
      <c r="F346" s="11"/>
      <c r="G346" s="20"/>
      <c r="J346" s="11"/>
    </row>
    <row r="347" ht="15.75" customHeight="1">
      <c r="F347" s="11"/>
      <c r="G347" s="20"/>
      <c r="J347" s="11"/>
    </row>
    <row r="348" ht="15.75" customHeight="1">
      <c r="F348" s="11"/>
      <c r="G348" s="20"/>
      <c r="J348" s="11"/>
    </row>
    <row r="349" ht="15.75" customHeight="1">
      <c r="F349" s="11"/>
      <c r="G349" s="20"/>
      <c r="J349" s="11"/>
    </row>
    <row r="350" ht="15.75" customHeight="1">
      <c r="F350" s="11"/>
      <c r="G350" s="20"/>
      <c r="J350" s="11"/>
    </row>
    <row r="351" ht="15.75" customHeight="1">
      <c r="F351" s="11"/>
      <c r="G351" s="20"/>
      <c r="J351" s="11"/>
    </row>
    <row r="352" ht="15.75" customHeight="1">
      <c r="F352" s="11"/>
      <c r="G352" s="20"/>
      <c r="J352" s="11"/>
    </row>
    <row r="353" ht="15.75" customHeight="1">
      <c r="F353" s="11"/>
      <c r="G353" s="20"/>
      <c r="J353" s="11"/>
    </row>
    <row r="354" ht="15.75" customHeight="1">
      <c r="F354" s="11"/>
      <c r="G354" s="20"/>
      <c r="J354" s="11"/>
    </row>
    <row r="355" ht="15.75" customHeight="1">
      <c r="F355" s="11"/>
      <c r="G355" s="20"/>
      <c r="J355" s="11"/>
    </row>
    <row r="356" ht="15.75" customHeight="1">
      <c r="F356" s="11"/>
      <c r="G356" s="20"/>
      <c r="J356" s="11"/>
    </row>
    <row r="357" ht="15.75" customHeight="1">
      <c r="F357" s="11"/>
      <c r="G357" s="20"/>
      <c r="J357" s="11"/>
    </row>
    <row r="358" ht="15.75" customHeight="1">
      <c r="F358" s="11"/>
      <c r="G358" s="20"/>
      <c r="J358" s="11"/>
    </row>
    <row r="359" ht="15.75" customHeight="1">
      <c r="F359" s="11"/>
      <c r="G359" s="20"/>
      <c r="J359" s="11"/>
    </row>
    <row r="360" ht="15.75" customHeight="1">
      <c r="F360" s="11"/>
      <c r="G360" s="20"/>
      <c r="J360" s="11"/>
    </row>
    <row r="361" ht="15.75" customHeight="1">
      <c r="F361" s="11"/>
      <c r="G361" s="20"/>
      <c r="J361" s="11"/>
    </row>
    <row r="362" ht="15.75" customHeight="1">
      <c r="F362" s="11"/>
      <c r="G362" s="20"/>
      <c r="J362" s="11"/>
    </row>
    <row r="363" ht="15.75" customHeight="1">
      <c r="F363" s="11"/>
      <c r="G363" s="20"/>
      <c r="J363" s="11"/>
    </row>
    <row r="364" ht="15.75" customHeight="1">
      <c r="F364" s="11"/>
      <c r="G364" s="20"/>
      <c r="J364" s="11"/>
    </row>
    <row r="365" ht="15.75" customHeight="1">
      <c r="F365" s="11"/>
      <c r="G365" s="20"/>
      <c r="J365" s="11"/>
    </row>
    <row r="366" ht="15.75" customHeight="1">
      <c r="F366" s="11"/>
      <c r="G366" s="20"/>
      <c r="J366" s="11"/>
    </row>
    <row r="367" ht="15.75" customHeight="1">
      <c r="F367" s="11"/>
      <c r="G367" s="20"/>
      <c r="J367" s="11"/>
    </row>
    <row r="368" ht="15.75" customHeight="1">
      <c r="F368" s="11"/>
      <c r="G368" s="20"/>
      <c r="J368" s="11"/>
    </row>
    <row r="369" ht="15.75" customHeight="1">
      <c r="F369" s="11"/>
      <c r="G369" s="20"/>
      <c r="J369" s="11"/>
    </row>
    <row r="370" ht="15.75" customHeight="1">
      <c r="F370" s="11"/>
      <c r="G370" s="20"/>
      <c r="J370" s="11"/>
    </row>
    <row r="371" ht="15.75" customHeight="1">
      <c r="F371" s="11"/>
      <c r="G371" s="20"/>
      <c r="J371" s="11"/>
    </row>
    <row r="372" ht="15.75" customHeight="1">
      <c r="F372" s="11"/>
      <c r="G372" s="20"/>
      <c r="J372" s="11"/>
    </row>
    <row r="373" ht="15.75" customHeight="1">
      <c r="F373" s="11"/>
      <c r="G373" s="20"/>
      <c r="J373" s="11"/>
    </row>
    <row r="374" ht="15.75" customHeight="1">
      <c r="F374" s="11"/>
      <c r="G374" s="20"/>
      <c r="J374" s="11"/>
    </row>
    <row r="375" ht="15.75" customHeight="1">
      <c r="F375" s="11"/>
      <c r="G375" s="20"/>
      <c r="J375" s="11"/>
    </row>
    <row r="376" ht="15.75" customHeight="1">
      <c r="F376" s="11"/>
      <c r="G376" s="20"/>
      <c r="J376" s="11"/>
    </row>
    <row r="377" ht="15.75" customHeight="1">
      <c r="F377" s="11"/>
      <c r="G377" s="20"/>
      <c r="J377" s="11"/>
    </row>
    <row r="378" ht="15.75" customHeight="1">
      <c r="F378" s="11"/>
      <c r="G378" s="20"/>
      <c r="J378" s="11"/>
    </row>
    <row r="379" ht="15.75" customHeight="1">
      <c r="F379" s="11"/>
      <c r="G379" s="20"/>
      <c r="J379" s="11"/>
    </row>
    <row r="380" ht="15.75" customHeight="1">
      <c r="F380" s="11"/>
      <c r="G380" s="20"/>
      <c r="J380" s="11"/>
    </row>
    <row r="381" ht="15.75" customHeight="1">
      <c r="F381" s="11"/>
      <c r="G381" s="20"/>
      <c r="J381" s="11"/>
    </row>
    <row r="382" ht="15.75" customHeight="1">
      <c r="F382" s="11"/>
      <c r="G382" s="20"/>
      <c r="J382" s="11"/>
    </row>
    <row r="383" ht="15.75" customHeight="1">
      <c r="F383" s="11"/>
      <c r="G383" s="20"/>
      <c r="J383" s="11"/>
    </row>
    <row r="384" ht="15.75" customHeight="1">
      <c r="F384" s="11"/>
      <c r="G384" s="20"/>
      <c r="J384" s="11"/>
    </row>
    <row r="385" ht="15.75" customHeight="1">
      <c r="F385" s="11"/>
      <c r="G385" s="20"/>
      <c r="J385" s="11"/>
    </row>
    <row r="386" ht="15.75" customHeight="1">
      <c r="F386" s="11"/>
      <c r="G386" s="20"/>
      <c r="J386" s="11"/>
    </row>
    <row r="387" ht="15.75" customHeight="1">
      <c r="F387" s="11"/>
      <c r="G387" s="20"/>
      <c r="J387" s="11"/>
    </row>
    <row r="388" ht="15.75" customHeight="1">
      <c r="F388" s="11"/>
      <c r="G388" s="20"/>
      <c r="J388" s="11"/>
    </row>
    <row r="389" ht="15.75" customHeight="1">
      <c r="F389" s="11"/>
      <c r="G389" s="20"/>
      <c r="J389" s="11"/>
    </row>
    <row r="390" ht="15.75" customHeight="1">
      <c r="F390" s="11"/>
      <c r="G390" s="20"/>
      <c r="J390" s="11"/>
    </row>
    <row r="391" ht="15.75" customHeight="1">
      <c r="F391" s="11"/>
      <c r="G391" s="20"/>
      <c r="J391" s="11"/>
    </row>
    <row r="392" ht="15.75" customHeight="1">
      <c r="F392" s="11"/>
      <c r="G392" s="20"/>
      <c r="J392" s="11"/>
    </row>
    <row r="393" ht="15.75" customHeight="1">
      <c r="F393" s="11"/>
      <c r="G393" s="20"/>
      <c r="J393" s="11"/>
    </row>
    <row r="394" ht="15.75" customHeight="1">
      <c r="F394" s="11"/>
      <c r="G394" s="20"/>
      <c r="J394" s="11"/>
    </row>
    <row r="395" ht="15.75" customHeight="1">
      <c r="F395" s="11"/>
      <c r="G395" s="20"/>
      <c r="J395" s="11"/>
    </row>
    <row r="396" ht="15.75" customHeight="1">
      <c r="F396" s="11"/>
      <c r="G396" s="20"/>
      <c r="J396" s="11"/>
    </row>
    <row r="397" ht="15.75" customHeight="1">
      <c r="F397" s="11"/>
      <c r="G397" s="20"/>
      <c r="J397" s="11"/>
    </row>
    <row r="398" ht="15.75" customHeight="1">
      <c r="F398" s="11"/>
      <c r="G398" s="20"/>
      <c r="J398" s="11"/>
    </row>
    <row r="399" ht="15.75" customHeight="1">
      <c r="F399" s="11"/>
      <c r="G399" s="20"/>
      <c r="J399" s="11"/>
    </row>
    <row r="400" ht="15.75" customHeight="1">
      <c r="F400" s="11"/>
      <c r="G400" s="20"/>
      <c r="J400" s="11"/>
    </row>
    <row r="401" ht="15.75" customHeight="1">
      <c r="F401" s="11"/>
      <c r="G401" s="20"/>
      <c r="J401" s="11"/>
    </row>
    <row r="402" ht="15.75" customHeight="1">
      <c r="F402" s="11"/>
      <c r="G402" s="20"/>
      <c r="J402" s="11"/>
    </row>
    <row r="403" ht="15.75" customHeight="1">
      <c r="F403" s="11"/>
      <c r="G403" s="20"/>
      <c r="J403" s="11"/>
    </row>
    <row r="404" ht="15.75" customHeight="1">
      <c r="F404" s="11"/>
      <c r="G404" s="20"/>
      <c r="J404" s="11"/>
    </row>
    <row r="405" ht="15.75" customHeight="1">
      <c r="F405" s="11"/>
      <c r="G405" s="20"/>
      <c r="J405" s="11"/>
    </row>
    <row r="406" ht="15.75" customHeight="1">
      <c r="F406" s="11"/>
      <c r="G406" s="20"/>
      <c r="J406" s="11"/>
    </row>
    <row r="407" ht="15.75" customHeight="1">
      <c r="F407" s="11"/>
      <c r="G407" s="20"/>
      <c r="J407" s="11"/>
    </row>
    <row r="408" ht="15.75" customHeight="1">
      <c r="F408" s="11"/>
      <c r="G408" s="20"/>
      <c r="J408" s="11"/>
    </row>
    <row r="409" ht="15.75" customHeight="1">
      <c r="F409" s="11"/>
      <c r="G409" s="20"/>
      <c r="J409" s="11"/>
    </row>
    <row r="410" ht="15.75" customHeight="1">
      <c r="F410" s="11"/>
      <c r="G410" s="20"/>
      <c r="J410" s="11"/>
    </row>
    <row r="411" ht="15.75" customHeight="1">
      <c r="F411" s="11"/>
      <c r="G411" s="20"/>
      <c r="J411" s="11"/>
    </row>
    <row r="412" ht="15.75" customHeight="1">
      <c r="F412" s="11"/>
      <c r="G412" s="20"/>
      <c r="J412" s="11"/>
    </row>
    <row r="413" ht="15.75" customHeight="1">
      <c r="F413" s="11"/>
      <c r="G413" s="20"/>
      <c r="J413" s="11"/>
    </row>
    <row r="414" ht="15.75" customHeight="1">
      <c r="F414" s="11"/>
      <c r="G414" s="20"/>
      <c r="J414" s="11"/>
    </row>
    <row r="415" ht="15.75" customHeight="1">
      <c r="F415" s="11"/>
      <c r="G415" s="20"/>
      <c r="J415" s="11"/>
    </row>
    <row r="416" ht="15.75" customHeight="1">
      <c r="F416" s="11"/>
      <c r="G416" s="20"/>
      <c r="J416" s="11"/>
    </row>
    <row r="417" ht="15.75" customHeight="1">
      <c r="F417" s="11"/>
      <c r="G417" s="20"/>
      <c r="J417" s="11"/>
    </row>
    <row r="418" ht="15.75" customHeight="1">
      <c r="F418" s="11"/>
      <c r="G418" s="20"/>
      <c r="J418" s="11"/>
    </row>
    <row r="419" ht="15.75" customHeight="1">
      <c r="F419" s="11"/>
      <c r="G419" s="20"/>
      <c r="J419" s="11"/>
    </row>
    <row r="420" ht="15.75" customHeight="1">
      <c r="F420" s="11"/>
      <c r="G420" s="20"/>
      <c r="J420" s="11"/>
    </row>
    <row r="421" ht="15.75" customHeight="1">
      <c r="F421" s="11"/>
      <c r="G421" s="20"/>
      <c r="J421" s="11"/>
    </row>
    <row r="422" ht="15.75" customHeight="1">
      <c r="F422" s="11"/>
      <c r="G422" s="20"/>
      <c r="J422" s="11"/>
    </row>
    <row r="423" ht="15.75" customHeight="1">
      <c r="F423" s="11"/>
      <c r="G423" s="20"/>
      <c r="J423" s="11"/>
    </row>
    <row r="424" ht="15.75" customHeight="1">
      <c r="F424" s="11"/>
      <c r="G424" s="20"/>
      <c r="J424" s="11"/>
    </row>
    <row r="425" ht="15.75" customHeight="1">
      <c r="F425" s="11"/>
      <c r="G425" s="20"/>
      <c r="J425" s="11"/>
    </row>
    <row r="426" ht="15.75" customHeight="1">
      <c r="F426" s="11"/>
      <c r="G426" s="20"/>
      <c r="J426" s="11"/>
    </row>
    <row r="427" ht="15.75" customHeight="1">
      <c r="F427" s="11"/>
      <c r="G427" s="20"/>
      <c r="J427" s="11"/>
    </row>
    <row r="428" ht="15.75" customHeight="1">
      <c r="F428" s="11"/>
      <c r="G428" s="20"/>
      <c r="J428" s="11"/>
    </row>
    <row r="429" ht="15.75" customHeight="1">
      <c r="F429" s="11"/>
      <c r="G429" s="20"/>
      <c r="J429" s="11"/>
    </row>
    <row r="430" ht="15.75" customHeight="1">
      <c r="F430" s="11"/>
      <c r="G430" s="20"/>
      <c r="J430" s="11"/>
    </row>
    <row r="431" ht="15.75" customHeight="1">
      <c r="F431" s="11"/>
      <c r="G431" s="20"/>
      <c r="J431" s="11"/>
    </row>
    <row r="432" ht="15.75" customHeight="1">
      <c r="F432" s="11"/>
      <c r="G432" s="20"/>
      <c r="J432" s="11"/>
    </row>
    <row r="433" ht="15.75" customHeight="1">
      <c r="F433" s="11"/>
      <c r="G433" s="20"/>
      <c r="J433" s="11"/>
    </row>
    <row r="434" ht="15.75" customHeight="1">
      <c r="F434" s="11"/>
      <c r="G434" s="20"/>
      <c r="J434" s="11"/>
    </row>
    <row r="435" ht="15.75" customHeight="1">
      <c r="F435" s="11"/>
      <c r="G435" s="20"/>
      <c r="J435" s="11"/>
    </row>
    <row r="436" ht="15.75" customHeight="1">
      <c r="F436" s="11"/>
      <c r="G436" s="20"/>
      <c r="J436" s="11"/>
    </row>
    <row r="437" ht="15.75" customHeight="1">
      <c r="F437" s="11"/>
      <c r="G437" s="20"/>
      <c r="J437" s="11"/>
    </row>
    <row r="438" ht="15.75" customHeight="1">
      <c r="F438" s="11"/>
      <c r="G438" s="20"/>
      <c r="J438" s="11"/>
    </row>
    <row r="439" ht="15.75" customHeight="1">
      <c r="F439" s="11"/>
      <c r="G439" s="20"/>
      <c r="J439" s="11"/>
    </row>
    <row r="440" ht="15.75" customHeight="1">
      <c r="F440" s="11"/>
      <c r="G440" s="20"/>
      <c r="J440" s="11"/>
    </row>
    <row r="441" ht="15.75" customHeight="1">
      <c r="F441" s="11"/>
      <c r="G441" s="20"/>
      <c r="J441" s="11"/>
    </row>
    <row r="442" ht="15.75" customHeight="1">
      <c r="F442" s="11"/>
      <c r="G442" s="20"/>
      <c r="J442" s="11"/>
    </row>
    <row r="443" ht="15.75" customHeight="1">
      <c r="F443" s="11"/>
      <c r="G443" s="20"/>
      <c r="J443" s="11"/>
    </row>
    <row r="444" ht="15.75" customHeight="1">
      <c r="F444" s="11"/>
      <c r="G444" s="20"/>
      <c r="J444" s="11"/>
    </row>
    <row r="445" ht="15.75" customHeight="1">
      <c r="F445" s="11"/>
      <c r="G445" s="20"/>
      <c r="J445" s="11"/>
    </row>
    <row r="446" ht="15.75" customHeight="1">
      <c r="F446" s="11"/>
      <c r="G446" s="20"/>
      <c r="J446" s="11"/>
    </row>
    <row r="447" ht="15.75" customHeight="1">
      <c r="F447" s="11"/>
      <c r="G447" s="20"/>
      <c r="J447" s="11"/>
    </row>
    <row r="448" ht="15.75" customHeight="1">
      <c r="F448" s="11"/>
      <c r="G448" s="20"/>
      <c r="J448" s="11"/>
    </row>
    <row r="449" ht="15.75" customHeight="1">
      <c r="F449" s="11"/>
      <c r="G449" s="20"/>
      <c r="J449" s="11"/>
    </row>
    <row r="450" ht="15.75" customHeight="1">
      <c r="F450" s="11"/>
      <c r="G450" s="20"/>
      <c r="J450" s="11"/>
    </row>
    <row r="451" ht="15.75" customHeight="1">
      <c r="F451" s="11"/>
      <c r="G451" s="20"/>
      <c r="J451" s="11"/>
    </row>
    <row r="452" ht="15.75" customHeight="1">
      <c r="F452" s="11"/>
      <c r="G452" s="20"/>
      <c r="J452" s="11"/>
    </row>
    <row r="453" ht="15.75" customHeight="1">
      <c r="F453" s="11"/>
      <c r="G453" s="20"/>
      <c r="J453" s="11"/>
    </row>
    <row r="454" ht="15.75" customHeight="1">
      <c r="F454" s="11"/>
      <c r="G454" s="20"/>
      <c r="J454" s="11"/>
    </row>
    <row r="455" ht="15.75" customHeight="1">
      <c r="F455" s="11"/>
      <c r="G455" s="20"/>
      <c r="J455" s="11"/>
    </row>
    <row r="456" ht="15.75" customHeight="1">
      <c r="F456" s="11"/>
      <c r="G456" s="20"/>
      <c r="J456" s="11"/>
    </row>
    <row r="457" ht="15.75" customHeight="1">
      <c r="F457" s="11"/>
      <c r="G457" s="20"/>
      <c r="J457" s="11"/>
    </row>
    <row r="458" ht="15.75" customHeight="1">
      <c r="F458" s="11"/>
      <c r="G458" s="20"/>
      <c r="J458" s="11"/>
    </row>
    <row r="459" ht="15.75" customHeight="1">
      <c r="F459" s="11"/>
      <c r="G459" s="20"/>
      <c r="J459" s="11"/>
    </row>
    <row r="460" ht="15.75" customHeight="1">
      <c r="F460" s="11"/>
      <c r="G460" s="20"/>
      <c r="J460" s="11"/>
    </row>
    <row r="461" ht="15.75" customHeight="1">
      <c r="F461" s="11"/>
      <c r="G461" s="20"/>
      <c r="J461" s="11"/>
    </row>
    <row r="462" ht="15.75" customHeight="1">
      <c r="F462" s="11"/>
      <c r="G462" s="20"/>
      <c r="J462" s="11"/>
    </row>
    <row r="463" ht="15.75" customHeight="1">
      <c r="F463" s="11"/>
      <c r="G463" s="20"/>
      <c r="J463" s="11"/>
    </row>
    <row r="464" ht="15.75" customHeight="1">
      <c r="F464" s="11"/>
      <c r="G464" s="20"/>
      <c r="J464" s="11"/>
    </row>
    <row r="465" ht="15.75" customHeight="1">
      <c r="F465" s="11"/>
      <c r="G465" s="20"/>
      <c r="J465" s="11"/>
    </row>
    <row r="466" ht="15.75" customHeight="1">
      <c r="F466" s="11"/>
      <c r="G466" s="20"/>
      <c r="J466" s="11"/>
    </row>
    <row r="467" ht="15.75" customHeight="1">
      <c r="F467" s="11"/>
      <c r="G467" s="20"/>
      <c r="J467" s="11"/>
    </row>
    <row r="468" ht="15.75" customHeight="1">
      <c r="F468" s="11"/>
      <c r="G468" s="20"/>
      <c r="J468" s="11"/>
    </row>
    <row r="469" ht="15.75" customHeight="1">
      <c r="F469" s="11"/>
      <c r="G469" s="20"/>
      <c r="J469" s="11"/>
    </row>
    <row r="470" ht="15.75" customHeight="1">
      <c r="F470" s="11"/>
      <c r="G470" s="20"/>
      <c r="J470" s="11"/>
    </row>
    <row r="471" ht="15.75" customHeight="1">
      <c r="F471" s="11"/>
      <c r="G471" s="20"/>
      <c r="J471" s="11"/>
    </row>
    <row r="472" ht="15.75" customHeight="1">
      <c r="F472" s="11"/>
      <c r="G472" s="20"/>
      <c r="J472" s="11"/>
    </row>
    <row r="473" ht="15.75" customHeight="1">
      <c r="F473" s="11"/>
      <c r="G473" s="20"/>
      <c r="J473" s="11"/>
    </row>
    <row r="474" ht="15.75" customHeight="1">
      <c r="F474" s="11"/>
      <c r="G474" s="20"/>
      <c r="J474" s="11"/>
    </row>
    <row r="475" ht="15.75" customHeight="1">
      <c r="F475" s="11"/>
      <c r="G475" s="20"/>
      <c r="J475" s="11"/>
    </row>
    <row r="476" ht="15.75" customHeight="1">
      <c r="F476" s="11"/>
      <c r="G476" s="20"/>
      <c r="J476" s="11"/>
    </row>
    <row r="477" ht="15.75" customHeight="1">
      <c r="F477" s="11"/>
      <c r="G477" s="20"/>
      <c r="J477" s="11"/>
    </row>
    <row r="478" ht="15.75" customHeight="1">
      <c r="F478" s="11"/>
      <c r="G478" s="20"/>
      <c r="J478" s="11"/>
    </row>
    <row r="479" ht="15.75" customHeight="1">
      <c r="F479" s="11"/>
      <c r="G479" s="20"/>
      <c r="J479" s="11"/>
    </row>
    <row r="480" ht="15.75" customHeight="1">
      <c r="F480" s="11"/>
      <c r="G480" s="20"/>
      <c r="J480" s="11"/>
    </row>
    <row r="481" ht="15.75" customHeight="1">
      <c r="F481" s="11"/>
      <c r="G481" s="20"/>
      <c r="J481" s="11"/>
    </row>
    <row r="482" ht="15.75" customHeight="1">
      <c r="F482" s="11"/>
      <c r="G482" s="20"/>
      <c r="J482" s="11"/>
    </row>
    <row r="483" ht="15.75" customHeight="1">
      <c r="F483" s="11"/>
      <c r="G483" s="20"/>
      <c r="J483" s="11"/>
    </row>
    <row r="484" ht="15.75" customHeight="1">
      <c r="F484" s="11"/>
      <c r="G484" s="20"/>
      <c r="J484" s="11"/>
    </row>
    <row r="485" ht="15.75" customHeight="1">
      <c r="F485" s="11"/>
      <c r="G485" s="20"/>
      <c r="J485" s="11"/>
    </row>
    <row r="486" ht="15.75" customHeight="1">
      <c r="F486" s="11"/>
      <c r="G486" s="20"/>
      <c r="J486" s="11"/>
    </row>
    <row r="487" ht="15.75" customHeight="1">
      <c r="F487" s="11"/>
      <c r="G487" s="20"/>
      <c r="J487" s="11"/>
    </row>
    <row r="488" ht="15.75" customHeight="1">
      <c r="F488" s="11"/>
      <c r="G488" s="20"/>
      <c r="J488" s="11"/>
    </row>
    <row r="489" ht="15.75" customHeight="1">
      <c r="F489" s="11"/>
      <c r="G489" s="20"/>
      <c r="J489" s="11"/>
    </row>
    <row r="490" ht="15.75" customHeight="1">
      <c r="F490" s="11"/>
      <c r="G490" s="20"/>
      <c r="J490" s="11"/>
    </row>
    <row r="491" ht="15.75" customHeight="1">
      <c r="F491" s="11"/>
      <c r="G491" s="20"/>
      <c r="J491" s="11"/>
    </row>
    <row r="492" ht="15.75" customHeight="1">
      <c r="F492" s="11"/>
      <c r="G492" s="20"/>
      <c r="J492" s="11"/>
    </row>
    <row r="493" ht="15.75" customHeight="1">
      <c r="F493" s="11"/>
      <c r="G493" s="20"/>
      <c r="J493" s="11"/>
    </row>
    <row r="494" ht="15.75" customHeight="1">
      <c r="F494" s="11"/>
      <c r="G494" s="20"/>
      <c r="J494" s="11"/>
    </row>
    <row r="495" ht="15.75" customHeight="1">
      <c r="F495" s="11"/>
      <c r="G495" s="20"/>
      <c r="J495" s="11"/>
    </row>
    <row r="496" ht="15.75" customHeight="1">
      <c r="F496" s="11"/>
      <c r="G496" s="20"/>
      <c r="J496" s="11"/>
    </row>
    <row r="497" ht="15.75" customHeight="1">
      <c r="F497" s="11"/>
      <c r="G497" s="20"/>
      <c r="J497" s="11"/>
    </row>
    <row r="498" ht="15.75" customHeight="1">
      <c r="F498" s="11"/>
      <c r="G498" s="20"/>
      <c r="J498" s="11"/>
    </row>
    <row r="499" ht="15.75" customHeight="1">
      <c r="F499" s="11"/>
      <c r="G499" s="20"/>
      <c r="J499" s="11"/>
    </row>
    <row r="500" ht="15.75" customHeight="1">
      <c r="F500" s="11"/>
      <c r="G500" s="20"/>
      <c r="J500" s="11"/>
    </row>
    <row r="501" ht="15.75" customHeight="1">
      <c r="F501" s="11"/>
      <c r="G501" s="20"/>
      <c r="J501" s="11"/>
    </row>
    <row r="502" ht="15.75" customHeight="1">
      <c r="F502" s="11"/>
      <c r="G502" s="20"/>
      <c r="J502" s="11"/>
    </row>
    <row r="503" ht="15.75" customHeight="1">
      <c r="F503" s="11"/>
      <c r="G503" s="20"/>
      <c r="J503" s="11"/>
    </row>
    <row r="504" ht="15.75" customHeight="1">
      <c r="F504" s="11"/>
      <c r="G504" s="20"/>
      <c r="J504" s="11"/>
    </row>
    <row r="505" ht="15.75" customHeight="1">
      <c r="F505" s="11"/>
      <c r="G505" s="20"/>
      <c r="J505" s="11"/>
    </row>
    <row r="506" ht="15.75" customHeight="1">
      <c r="F506" s="11"/>
      <c r="G506" s="20"/>
      <c r="J506" s="11"/>
    </row>
    <row r="507" ht="15.75" customHeight="1">
      <c r="F507" s="11"/>
      <c r="G507" s="20"/>
      <c r="J507" s="11"/>
    </row>
    <row r="508" ht="15.75" customHeight="1">
      <c r="F508" s="11"/>
      <c r="G508" s="20"/>
      <c r="J508" s="11"/>
    </row>
    <row r="509" ht="15.75" customHeight="1">
      <c r="F509" s="11"/>
      <c r="G509" s="20"/>
      <c r="J509" s="11"/>
    </row>
    <row r="510" ht="15.75" customHeight="1">
      <c r="F510" s="11"/>
      <c r="G510" s="20"/>
      <c r="J510" s="11"/>
    </row>
    <row r="511" ht="15.75" customHeight="1">
      <c r="F511" s="11"/>
      <c r="G511" s="20"/>
      <c r="J511" s="11"/>
    </row>
    <row r="512" ht="15.75" customHeight="1">
      <c r="F512" s="11"/>
      <c r="G512" s="20"/>
      <c r="J512" s="11"/>
    </row>
    <row r="513" ht="15.75" customHeight="1">
      <c r="F513" s="11"/>
      <c r="G513" s="20"/>
      <c r="J513" s="11"/>
    </row>
    <row r="514" ht="15.75" customHeight="1">
      <c r="F514" s="11"/>
      <c r="G514" s="20"/>
      <c r="J514" s="11"/>
    </row>
    <row r="515" ht="15.75" customHeight="1">
      <c r="F515" s="11"/>
      <c r="G515" s="20"/>
      <c r="J515" s="11"/>
    </row>
    <row r="516" ht="15.75" customHeight="1">
      <c r="F516" s="11"/>
      <c r="G516" s="20"/>
      <c r="J516" s="11"/>
    </row>
    <row r="517" ht="15.75" customHeight="1">
      <c r="F517" s="11"/>
      <c r="G517" s="20"/>
      <c r="J517" s="11"/>
    </row>
    <row r="518" ht="15.75" customHeight="1">
      <c r="F518" s="11"/>
      <c r="G518" s="20"/>
      <c r="J518" s="11"/>
    </row>
    <row r="519" ht="15.75" customHeight="1">
      <c r="F519" s="11"/>
      <c r="G519" s="20"/>
      <c r="J519" s="11"/>
    </row>
    <row r="520" ht="15.75" customHeight="1">
      <c r="F520" s="11"/>
      <c r="G520" s="20"/>
      <c r="J520" s="11"/>
    </row>
    <row r="521" ht="15.75" customHeight="1">
      <c r="F521" s="11"/>
      <c r="G521" s="20"/>
      <c r="J521" s="11"/>
    </row>
    <row r="522" ht="15.75" customHeight="1">
      <c r="F522" s="11"/>
      <c r="G522" s="20"/>
      <c r="J522" s="11"/>
    </row>
    <row r="523" ht="15.75" customHeight="1">
      <c r="F523" s="11"/>
      <c r="G523" s="20"/>
      <c r="J523" s="11"/>
    </row>
    <row r="524" ht="15.75" customHeight="1">
      <c r="F524" s="11"/>
      <c r="G524" s="20"/>
      <c r="J524" s="11"/>
    </row>
    <row r="525" ht="15.75" customHeight="1">
      <c r="F525" s="11"/>
      <c r="G525" s="20"/>
      <c r="J525" s="11"/>
    </row>
    <row r="526" ht="15.75" customHeight="1">
      <c r="F526" s="11"/>
      <c r="G526" s="20"/>
      <c r="J526" s="11"/>
    </row>
    <row r="527" ht="15.75" customHeight="1">
      <c r="F527" s="11"/>
      <c r="G527" s="20"/>
      <c r="J527" s="11"/>
    </row>
    <row r="528" ht="15.75" customHeight="1">
      <c r="F528" s="11"/>
      <c r="G528" s="20"/>
      <c r="J528" s="11"/>
    </row>
    <row r="529" ht="15.75" customHeight="1">
      <c r="F529" s="11"/>
      <c r="G529" s="20"/>
      <c r="J529" s="11"/>
    </row>
    <row r="530" ht="15.75" customHeight="1">
      <c r="F530" s="11"/>
      <c r="G530" s="20"/>
      <c r="J530" s="11"/>
    </row>
    <row r="531" ht="15.75" customHeight="1">
      <c r="F531" s="11"/>
      <c r="G531" s="20"/>
      <c r="J531" s="11"/>
    </row>
    <row r="532" ht="15.75" customHeight="1">
      <c r="F532" s="11"/>
      <c r="G532" s="20"/>
      <c r="J532" s="11"/>
    </row>
    <row r="533" ht="15.75" customHeight="1">
      <c r="F533" s="11"/>
      <c r="G533" s="20"/>
      <c r="J533" s="11"/>
    </row>
    <row r="534" ht="15.75" customHeight="1">
      <c r="F534" s="11"/>
      <c r="G534" s="20"/>
      <c r="J534" s="11"/>
    </row>
    <row r="535" ht="15.75" customHeight="1">
      <c r="F535" s="11"/>
      <c r="G535" s="20"/>
      <c r="J535" s="11"/>
    </row>
    <row r="536" ht="15.75" customHeight="1">
      <c r="F536" s="11"/>
      <c r="G536" s="20"/>
      <c r="J536" s="11"/>
    </row>
    <row r="537" ht="15.75" customHeight="1">
      <c r="F537" s="11"/>
      <c r="G537" s="20"/>
      <c r="J537" s="11"/>
    </row>
    <row r="538" ht="15.75" customHeight="1">
      <c r="F538" s="11"/>
      <c r="G538" s="20"/>
      <c r="J538" s="11"/>
    </row>
    <row r="539" ht="15.75" customHeight="1">
      <c r="F539" s="11"/>
      <c r="G539" s="20"/>
      <c r="J539" s="11"/>
    </row>
    <row r="540" ht="15.75" customHeight="1">
      <c r="F540" s="11"/>
      <c r="G540" s="20"/>
      <c r="J540" s="11"/>
    </row>
    <row r="541" ht="15.75" customHeight="1">
      <c r="F541" s="11"/>
      <c r="G541" s="20"/>
      <c r="J541" s="11"/>
    </row>
    <row r="542" ht="15.75" customHeight="1">
      <c r="F542" s="11"/>
      <c r="G542" s="20"/>
      <c r="J542" s="11"/>
    </row>
    <row r="543" ht="15.75" customHeight="1">
      <c r="F543" s="11"/>
      <c r="G543" s="20"/>
      <c r="J543" s="11"/>
    </row>
    <row r="544" ht="15.75" customHeight="1">
      <c r="F544" s="11"/>
      <c r="G544" s="20"/>
      <c r="J544" s="11"/>
    </row>
    <row r="545" ht="15.75" customHeight="1">
      <c r="F545" s="11"/>
      <c r="G545" s="20"/>
      <c r="J545" s="11"/>
    </row>
    <row r="546" ht="15.75" customHeight="1">
      <c r="F546" s="11"/>
      <c r="G546" s="20"/>
      <c r="J546" s="11"/>
    </row>
    <row r="547" ht="15.75" customHeight="1">
      <c r="F547" s="11"/>
      <c r="G547" s="20"/>
      <c r="J547" s="11"/>
    </row>
    <row r="548" ht="15.75" customHeight="1">
      <c r="F548" s="11"/>
      <c r="G548" s="20"/>
      <c r="J548" s="11"/>
    </row>
    <row r="549" ht="15.75" customHeight="1">
      <c r="F549" s="11"/>
      <c r="G549" s="20"/>
      <c r="J549" s="11"/>
    </row>
    <row r="550" ht="15.75" customHeight="1">
      <c r="F550" s="11"/>
      <c r="G550" s="20"/>
      <c r="J550" s="11"/>
    </row>
    <row r="551" ht="15.75" customHeight="1">
      <c r="F551" s="11"/>
      <c r="G551" s="20"/>
      <c r="J551" s="11"/>
    </row>
    <row r="552" ht="15.75" customHeight="1">
      <c r="F552" s="11"/>
      <c r="G552" s="20"/>
      <c r="J552" s="11"/>
    </row>
    <row r="553" ht="15.75" customHeight="1">
      <c r="F553" s="11"/>
      <c r="G553" s="20"/>
      <c r="J553" s="11"/>
    </row>
    <row r="554" ht="15.75" customHeight="1">
      <c r="F554" s="11"/>
      <c r="G554" s="20"/>
      <c r="J554" s="11"/>
    </row>
    <row r="555" ht="15.75" customHeight="1">
      <c r="F555" s="11"/>
      <c r="G555" s="20"/>
      <c r="J555" s="11"/>
    </row>
    <row r="556" ht="15.75" customHeight="1">
      <c r="F556" s="11"/>
      <c r="G556" s="20"/>
      <c r="J556" s="11"/>
    </row>
    <row r="557" ht="15.75" customHeight="1">
      <c r="F557" s="11"/>
      <c r="G557" s="20"/>
      <c r="J557" s="11"/>
    </row>
    <row r="558" ht="15.75" customHeight="1">
      <c r="F558" s="11"/>
      <c r="G558" s="20"/>
      <c r="J558" s="11"/>
    </row>
    <row r="559" ht="15.75" customHeight="1">
      <c r="F559" s="11"/>
      <c r="G559" s="20"/>
      <c r="J559" s="11"/>
    </row>
    <row r="560" ht="15.75" customHeight="1">
      <c r="F560" s="11"/>
      <c r="G560" s="20"/>
      <c r="J560" s="11"/>
    </row>
    <row r="561" ht="15.75" customHeight="1">
      <c r="F561" s="11"/>
      <c r="G561" s="20"/>
      <c r="J561" s="11"/>
    </row>
    <row r="562" ht="15.75" customHeight="1">
      <c r="F562" s="11"/>
      <c r="G562" s="20"/>
      <c r="J562" s="11"/>
    </row>
    <row r="563" ht="15.75" customHeight="1">
      <c r="F563" s="11"/>
      <c r="G563" s="20"/>
      <c r="J563" s="11"/>
    </row>
    <row r="564" ht="15.75" customHeight="1">
      <c r="F564" s="11"/>
      <c r="G564" s="20"/>
      <c r="J564" s="11"/>
    </row>
    <row r="565" ht="15.75" customHeight="1">
      <c r="F565" s="11"/>
      <c r="G565" s="20"/>
      <c r="J565" s="11"/>
    </row>
    <row r="566" ht="15.75" customHeight="1">
      <c r="F566" s="11"/>
      <c r="G566" s="20"/>
      <c r="J566" s="11"/>
    </row>
    <row r="567" ht="15.75" customHeight="1">
      <c r="F567" s="11"/>
      <c r="G567" s="20"/>
      <c r="J567" s="11"/>
    </row>
    <row r="568" ht="15.75" customHeight="1">
      <c r="F568" s="11"/>
      <c r="G568" s="20"/>
      <c r="J568" s="11"/>
    </row>
    <row r="569" ht="15.75" customHeight="1">
      <c r="F569" s="11"/>
      <c r="G569" s="20"/>
      <c r="J569" s="11"/>
    </row>
    <row r="570" ht="15.75" customHeight="1">
      <c r="F570" s="11"/>
      <c r="G570" s="20"/>
      <c r="J570" s="11"/>
    </row>
    <row r="571" ht="15.75" customHeight="1">
      <c r="F571" s="11"/>
      <c r="G571" s="20"/>
      <c r="J571" s="11"/>
    </row>
    <row r="572" ht="15.75" customHeight="1">
      <c r="F572" s="11"/>
      <c r="G572" s="20"/>
      <c r="J572" s="11"/>
    </row>
    <row r="573" ht="15.75" customHeight="1">
      <c r="F573" s="11"/>
      <c r="G573" s="20"/>
      <c r="J573" s="11"/>
    </row>
    <row r="574" ht="15.75" customHeight="1">
      <c r="F574" s="11"/>
      <c r="G574" s="20"/>
      <c r="J574" s="11"/>
    </row>
    <row r="575" ht="15.75" customHeight="1">
      <c r="F575" s="11"/>
      <c r="G575" s="20"/>
      <c r="J575" s="11"/>
    </row>
    <row r="576" ht="15.75" customHeight="1">
      <c r="F576" s="11"/>
      <c r="G576" s="20"/>
      <c r="J576" s="11"/>
    </row>
    <row r="577" ht="15.75" customHeight="1">
      <c r="F577" s="11"/>
      <c r="G577" s="20"/>
      <c r="J577" s="11"/>
    </row>
    <row r="578" ht="15.75" customHeight="1">
      <c r="F578" s="11"/>
      <c r="G578" s="20"/>
      <c r="J578" s="11"/>
    </row>
    <row r="579" ht="15.75" customHeight="1">
      <c r="F579" s="11"/>
      <c r="G579" s="20"/>
      <c r="J579" s="11"/>
    </row>
    <row r="580" ht="15.75" customHeight="1">
      <c r="F580" s="11"/>
      <c r="G580" s="20"/>
      <c r="J580" s="11"/>
    </row>
    <row r="581" ht="15.75" customHeight="1">
      <c r="F581" s="11"/>
      <c r="G581" s="20"/>
      <c r="J581" s="11"/>
    </row>
    <row r="582" ht="15.75" customHeight="1">
      <c r="F582" s="11"/>
      <c r="G582" s="20"/>
      <c r="J582" s="11"/>
    </row>
    <row r="583" ht="15.75" customHeight="1">
      <c r="F583" s="11"/>
      <c r="G583" s="20"/>
      <c r="J583" s="11"/>
    </row>
    <row r="584" ht="15.75" customHeight="1">
      <c r="F584" s="11"/>
      <c r="G584" s="20"/>
      <c r="J584" s="11"/>
    </row>
    <row r="585" ht="15.75" customHeight="1">
      <c r="F585" s="11"/>
      <c r="G585" s="20"/>
      <c r="J585" s="11"/>
    </row>
    <row r="586" ht="15.75" customHeight="1">
      <c r="F586" s="11"/>
      <c r="G586" s="20"/>
      <c r="J586" s="11"/>
    </row>
    <row r="587" ht="15.75" customHeight="1">
      <c r="F587" s="11"/>
      <c r="G587" s="20"/>
      <c r="J587" s="11"/>
    </row>
    <row r="588" ht="15.75" customHeight="1">
      <c r="F588" s="11"/>
      <c r="G588" s="20"/>
      <c r="J588" s="11"/>
    </row>
    <row r="589" ht="15.75" customHeight="1">
      <c r="F589" s="11"/>
      <c r="G589" s="20"/>
      <c r="J589" s="11"/>
    </row>
    <row r="590" ht="15.75" customHeight="1">
      <c r="F590" s="11"/>
      <c r="G590" s="20"/>
      <c r="J590" s="11"/>
    </row>
    <row r="591" ht="15.75" customHeight="1">
      <c r="F591" s="11"/>
      <c r="G591" s="20"/>
      <c r="J591" s="11"/>
    </row>
    <row r="592" ht="15.75" customHeight="1">
      <c r="F592" s="11"/>
      <c r="G592" s="20"/>
      <c r="J592" s="11"/>
    </row>
    <row r="593" ht="15.75" customHeight="1">
      <c r="F593" s="11"/>
      <c r="G593" s="20"/>
      <c r="J593" s="11"/>
    </row>
    <row r="594" ht="15.75" customHeight="1">
      <c r="F594" s="11"/>
      <c r="G594" s="20"/>
      <c r="J594" s="11"/>
    </row>
    <row r="595" ht="15.75" customHeight="1">
      <c r="F595" s="11"/>
      <c r="G595" s="20"/>
      <c r="J595" s="11"/>
    </row>
    <row r="596" ht="15.75" customHeight="1">
      <c r="F596" s="11"/>
      <c r="G596" s="20"/>
      <c r="J596" s="11"/>
    </row>
    <row r="597" ht="15.75" customHeight="1">
      <c r="F597" s="11"/>
      <c r="G597" s="20"/>
      <c r="J597" s="11"/>
    </row>
    <row r="598" ht="15.75" customHeight="1">
      <c r="F598" s="11"/>
      <c r="G598" s="20"/>
      <c r="J598" s="11"/>
    </row>
    <row r="599" ht="15.75" customHeight="1">
      <c r="F599" s="11"/>
      <c r="G599" s="20"/>
      <c r="J599" s="11"/>
    </row>
    <row r="600" ht="15.75" customHeight="1">
      <c r="F600" s="11"/>
      <c r="G600" s="20"/>
      <c r="J600" s="11"/>
    </row>
    <row r="601" ht="15.75" customHeight="1">
      <c r="F601" s="11"/>
      <c r="G601" s="20"/>
      <c r="J601" s="11"/>
    </row>
    <row r="602" ht="15.75" customHeight="1">
      <c r="F602" s="11"/>
      <c r="G602" s="20"/>
      <c r="J602" s="11"/>
    </row>
    <row r="603" ht="15.75" customHeight="1">
      <c r="F603" s="11"/>
      <c r="G603" s="20"/>
      <c r="J603" s="11"/>
    </row>
    <row r="604" ht="15.75" customHeight="1">
      <c r="F604" s="11"/>
      <c r="G604" s="20"/>
      <c r="J604" s="11"/>
    </row>
    <row r="605" ht="15.75" customHeight="1">
      <c r="F605" s="11"/>
      <c r="G605" s="20"/>
      <c r="J605" s="11"/>
    </row>
    <row r="606" ht="15.75" customHeight="1">
      <c r="F606" s="11"/>
      <c r="G606" s="20"/>
      <c r="J606" s="11"/>
    </row>
    <row r="607" ht="15.75" customHeight="1">
      <c r="F607" s="11"/>
      <c r="G607" s="20"/>
      <c r="J607" s="11"/>
    </row>
    <row r="608" ht="15.75" customHeight="1">
      <c r="F608" s="11"/>
      <c r="G608" s="20"/>
      <c r="J608" s="11"/>
    </row>
    <row r="609" ht="15.75" customHeight="1">
      <c r="F609" s="11"/>
      <c r="G609" s="20"/>
      <c r="J609" s="11"/>
    </row>
    <row r="610" ht="15.75" customHeight="1">
      <c r="F610" s="11"/>
      <c r="G610" s="20"/>
      <c r="J610" s="11"/>
    </row>
    <row r="611" ht="15.75" customHeight="1">
      <c r="F611" s="11"/>
      <c r="G611" s="20"/>
      <c r="J611" s="11"/>
    </row>
    <row r="612" ht="15.75" customHeight="1">
      <c r="F612" s="11"/>
      <c r="G612" s="20"/>
      <c r="J612" s="11"/>
    </row>
    <row r="613" ht="15.75" customHeight="1">
      <c r="F613" s="11"/>
      <c r="G613" s="20"/>
      <c r="J613" s="11"/>
    </row>
    <row r="614" ht="15.75" customHeight="1">
      <c r="F614" s="11"/>
      <c r="G614" s="20"/>
      <c r="J614" s="11"/>
    </row>
    <row r="615" ht="15.75" customHeight="1">
      <c r="F615" s="11"/>
      <c r="G615" s="20"/>
      <c r="J615" s="11"/>
    </row>
    <row r="616" ht="15.75" customHeight="1">
      <c r="F616" s="11"/>
      <c r="G616" s="20"/>
      <c r="J616" s="11"/>
    </row>
    <row r="617" ht="15.75" customHeight="1">
      <c r="F617" s="11"/>
      <c r="G617" s="20"/>
      <c r="J617" s="11"/>
    </row>
    <row r="618" ht="15.75" customHeight="1">
      <c r="F618" s="11"/>
      <c r="G618" s="20"/>
      <c r="J618" s="11"/>
    </row>
    <row r="619" ht="15.75" customHeight="1">
      <c r="F619" s="11"/>
      <c r="G619" s="20"/>
      <c r="J619" s="11"/>
    </row>
    <row r="620" ht="15.75" customHeight="1">
      <c r="F620" s="11"/>
      <c r="G620" s="20"/>
      <c r="J620" s="11"/>
    </row>
    <row r="621" ht="15.75" customHeight="1">
      <c r="F621" s="11"/>
      <c r="G621" s="20"/>
      <c r="J621" s="11"/>
    </row>
    <row r="622" ht="15.75" customHeight="1">
      <c r="F622" s="11"/>
      <c r="G622" s="20"/>
      <c r="J622" s="11"/>
    </row>
    <row r="623" ht="15.75" customHeight="1">
      <c r="F623" s="11"/>
      <c r="G623" s="20"/>
      <c r="J623" s="11"/>
    </row>
    <row r="624" ht="15.75" customHeight="1">
      <c r="F624" s="11"/>
      <c r="G624" s="20"/>
      <c r="J624" s="11"/>
    </row>
    <row r="625" ht="15.75" customHeight="1">
      <c r="F625" s="11"/>
      <c r="G625" s="20"/>
      <c r="J625" s="11"/>
    </row>
    <row r="626" ht="15.75" customHeight="1">
      <c r="F626" s="11"/>
      <c r="G626" s="20"/>
      <c r="J626" s="11"/>
    </row>
    <row r="627" ht="15.75" customHeight="1">
      <c r="F627" s="11"/>
      <c r="G627" s="20"/>
      <c r="J627" s="11"/>
    </row>
    <row r="628" ht="15.75" customHeight="1">
      <c r="F628" s="11"/>
      <c r="G628" s="20"/>
      <c r="J628" s="11"/>
    </row>
    <row r="629" ht="15.75" customHeight="1">
      <c r="F629" s="11"/>
      <c r="G629" s="20"/>
      <c r="J629" s="11"/>
    </row>
    <row r="630" ht="15.75" customHeight="1">
      <c r="F630" s="11"/>
      <c r="G630" s="20"/>
      <c r="J630" s="11"/>
    </row>
    <row r="631" ht="15.75" customHeight="1">
      <c r="F631" s="11"/>
      <c r="G631" s="20"/>
      <c r="J631" s="11"/>
    </row>
    <row r="632" ht="15.75" customHeight="1">
      <c r="F632" s="11"/>
      <c r="G632" s="20"/>
      <c r="J632" s="11"/>
    </row>
    <row r="633" ht="15.75" customHeight="1">
      <c r="F633" s="11"/>
      <c r="G633" s="20"/>
      <c r="J633" s="11"/>
    </row>
    <row r="634" ht="15.75" customHeight="1">
      <c r="F634" s="11"/>
      <c r="G634" s="20"/>
      <c r="J634" s="11"/>
    </row>
    <row r="635" ht="15.75" customHeight="1">
      <c r="F635" s="11"/>
      <c r="G635" s="20"/>
      <c r="J635" s="11"/>
    </row>
    <row r="636" ht="15.75" customHeight="1">
      <c r="F636" s="11"/>
      <c r="G636" s="20"/>
      <c r="J636" s="11"/>
    </row>
    <row r="637" ht="15.75" customHeight="1">
      <c r="F637" s="11"/>
      <c r="G637" s="20"/>
      <c r="J637" s="11"/>
    </row>
    <row r="638" ht="15.75" customHeight="1">
      <c r="F638" s="11"/>
      <c r="G638" s="20"/>
      <c r="J638" s="11"/>
    </row>
    <row r="639" ht="15.75" customHeight="1">
      <c r="F639" s="11"/>
      <c r="G639" s="20"/>
      <c r="J639" s="11"/>
    </row>
    <row r="640" ht="15.75" customHeight="1">
      <c r="F640" s="11"/>
      <c r="G640" s="20"/>
      <c r="J640" s="11"/>
    </row>
    <row r="641" ht="15.75" customHeight="1">
      <c r="F641" s="11"/>
      <c r="G641" s="20"/>
      <c r="J641" s="11"/>
    </row>
    <row r="642" ht="15.75" customHeight="1">
      <c r="F642" s="11"/>
      <c r="G642" s="20"/>
      <c r="J642" s="11"/>
    </row>
    <row r="643" ht="15.75" customHeight="1">
      <c r="F643" s="11"/>
      <c r="G643" s="20"/>
      <c r="J643" s="11"/>
    </row>
    <row r="644" ht="15.75" customHeight="1">
      <c r="F644" s="11"/>
      <c r="G644" s="20"/>
      <c r="J644" s="11"/>
    </row>
    <row r="645" ht="15.75" customHeight="1">
      <c r="F645" s="11"/>
      <c r="G645" s="20"/>
      <c r="J645" s="11"/>
    </row>
    <row r="646" ht="15.75" customHeight="1">
      <c r="F646" s="11"/>
      <c r="G646" s="20"/>
      <c r="J646" s="11"/>
    </row>
    <row r="647" ht="15.75" customHeight="1">
      <c r="F647" s="11"/>
      <c r="G647" s="20"/>
      <c r="J647" s="11"/>
    </row>
    <row r="648" ht="15.75" customHeight="1">
      <c r="F648" s="11"/>
      <c r="G648" s="20"/>
      <c r="J648" s="11"/>
    </row>
    <row r="649" ht="15.75" customHeight="1">
      <c r="F649" s="11"/>
      <c r="G649" s="20"/>
      <c r="J649" s="11"/>
    </row>
    <row r="650" ht="15.75" customHeight="1">
      <c r="F650" s="11"/>
      <c r="G650" s="20"/>
      <c r="J650" s="11"/>
    </row>
    <row r="651" ht="15.75" customHeight="1">
      <c r="F651" s="11"/>
      <c r="G651" s="20"/>
      <c r="J651" s="11"/>
    </row>
    <row r="652" ht="15.75" customHeight="1">
      <c r="F652" s="11"/>
      <c r="G652" s="20"/>
      <c r="J652" s="11"/>
    </row>
    <row r="653" ht="15.75" customHeight="1">
      <c r="F653" s="11"/>
      <c r="G653" s="20"/>
      <c r="J653" s="11"/>
    </row>
    <row r="654" ht="15.75" customHeight="1">
      <c r="F654" s="11"/>
      <c r="G654" s="20"/>
      <c r="J654" s="11"/>
    </row>
    <row r="655" ht="15.75" customHeight="1">
      <c r="F655" s="11"/>
      <c r="G655" s="20"/>
      <c r="J655" s="11"/>
    </row>
    <row r="656" ht="15.75" customHeight="1">
      <c r="F656" s="11"/>
      <c r="G656" s="20"/>
      <c r="J656" s="11"/>
    </row>
    <row r="657" ht="15.75" customHeight="1">
      <c r="F657" s="11"/>
      <c r="G657" s="20"/>
      <c r="J657" s="11"/>
    </row>
    <row r="658" ht="15.75" customHeight="1">
      <c r="F658" s="11"/>
      <c r="G658" s="20"/>
      <c r="J658" s="11"/>
    </row>
    <row r="659" ht="15.75" customHeight="1">
      <c r="F659" s="11"/>
      <c r="G659" s="20"/>
      <c r="J659" s="11"/>
    </row>
    <row r="660" ht="15.75" customHeight="1">
      <c r="F660" s="11"/>
      <c r="G660" s="20"/>
      <c r="J660" s="11"/>
    </row>
    <row r="661" ht="15.75" customHeight="1">
      <c r="F661" s="11"/>
      <c r="G661" s="20"/>
      <c r="J661" s="11"/>
    </row>
    <row r="662" ht="15.75" customHeight="1">
      <c r="F662" s="11"/>
      <c r="G662" s="20"/>
      <c r="J662" s="11"/>
    </row>
    <row r="663" ht="15.75" customHeight="1">
      <c r="F663" s="11"/>
      <c r="G663" s="20"/>
      <c r="J663" s="11"/>
    </row>
    <row r="664" ht="15.75" customHeight="1">
      <c r="F664" s="11"/>
      <c r="G664" s="20"/>
      <c r="J664" s="11"/>
    </row>
    <row r="665" ht="15.75" customHeight="1">
      <c r="F665" s="11"/>
      <c r="G665" s="20"/>
      <c r="J665" s="11"/>
    </row>
    <row r="666" ht="15.75" customHeight="1">
      <c r="F666" s="11"/>
      <c r="G666" s="20"/>
      <c r="J666" s="11"/>
    </row>
    <row r="667" ht="15.75" customHeight="1">
      <c r="F667" s="11"/>
      <c r="G667" s="20"/>
      <c r="J667" s="11"/>
    </row>
    <row r="668" ht="15.75" customHeight="1">
      <c r="F668" s="11"/>
      <c r="G668" s="20"/>
      <c r="J668" s="11"/>
    </row>
    <row r="669" ht="15.75" customHeight="1">
      <c r="F669" s="11"/>
      <c r="G669" s="20"/>
      <c r="J669" s="11"/>
    </row>
    <row r="670" ht="15.75" customHeight="1">
      <c r="F670" s="11"/>
      <c r="G670" s="20"/>
      <c r="J670" s="11"/>
    </row>
    <row r="671" ht="15.75" customHeight="1">
      <c r="F671" s="11"/>
      <c r="G671" s="20"/>
      <c r="J671" s="11"/>
    </row>
    <row r="672" ht="15.75" customHeight="1">
      <c r="F672" s="11"/>
      <c r="G672" s="20"/>
      <c r="J672" s="11"/>
    </row>
    <row r="673" ht="15.75" customHeight="1">
      <c r="F673" s="11"/>
      <c r="G673" s="20"/>
      <c r="J673" s="11"/>
    </row>
    <row r="674" ht="15.75" customHeight="1">
      <c r="F674" s="11"/>
      <c r="G674" s="20"/>
      <c r="J674" s="11"/>
    </row>
    <row r="675" ht="15.75" customHeight="1">
      <c r="F675" s="11"/>
      <c r="G675" s="20"/>
      <c r="J675" s="11"/>
    </row>
    <row r="676" ht="15.75" customHeight="1">
      <c r="F676" s="11"/>
      <c r="G676" s="20"/>
      <c r="J676" s="11"/>
    </row>
    <row r="677" ht="15.75" customHeight="1">
      <c r="F677" s="11"/>
      <c r="G677" s="20"/>
      <c r="J677" s="11"/>
    </row>
    <row r="678" ht="15.75" customHeight="1">
      <c r="F678" s="11"/>
      <c r="G678" s="20"/>
      <c r="J678" s="11"/>
    </row>
    <row r="679" ht="15.75" customHeight="1">
      <c r="F679" s="11"/>
      <c r="G679" s="20"/>
      <c r="J679" s="11"/>
    </row>
    <row r="680" ht="15.75" customHeight="1">
      <c r="F680" s="11"/>
      <c r="G680" s="20"/>
      <c r="J680" s="11"/>
    </row>
    <row r="681" ht="15.75" customHeight="1">
      <c r="F681" s="11"/>
      <c r="G681" s="20"/>
      <c r="J681" s="11"/>
    </row>
    <row r="682" ht="15.75" customHeight="1">
      <c r="F682" s="11"/>
      <c r="G682" s="20"/>
      <c r="J682" s="11"/>
    </row>
    <row r="683" ht="15.75" customHeight="1">
      <c r="F683" s="11"/>
      <c r="G683" s="20"/>
      <c r="J683" s="11"/>
    </row>
    <row r="684" ht="15.75" customHeight="1">
      <c r="F684" s="11"/>
      <c r="G684" s="20"/>
      <c r="J684" s="11"/>
    </row>
    <row r="685" ht="15.75" customHeight="1">
      <c r="F685" s="11"/>
      <c r="G685" s="20"/>
      <c r="J685" s="11"/>
    </row>
    <row r="686" ht="15.75" customHeight="1">
      <c r="F686" s="11"/>
      <c r="G686" s="20"/>
      <c r="J686" s="11"/>
    </row>
    <row r="687" ht="15.75" customHeight="1">
      <c r="F687" s="11"/>
      <c r="G687" s="20"/>
      <c r="J687" s="11"/>
    </row>
    <row r="688" ht="15.75" customHeight="1">
      <c r="F688" s="11"/>
      <c r="G688" s="20"/>
      <c r="J688" s="11"/>
    </row>
    <row r="689" ht="15.75" customHeight="1">
      <c r="F689" s="11"/>
      <c r="G689" s="20"/>
      <c r="J689" s="11"/>
    </row>
    <row r="690" ht="15.75" customHeight="1">
      <c r="F690" s="11"/>
      <c r="G690" s="20"/>
      <c r="J690" s="11"/>
    </row>
    <row r="691" ht="15.75" customHeight="1">
      <c r="F691" s="11"/>
      <c r="G691" s="20"/>
      <c r="J691" s="11"/>
    </row>
    <row r="692" ht="15.75" customHeight="1">
      <c r="F692" s="11"/>
      <c r="G692" s="20"/>
      <c r="J692" s="11"/>
    </row>
    <row r="693" ht="15.75" customHeight="1">
      <c r="F693" s="11"/>
      <c r="G693" s="20"/>
      <c r="J693" s="11"/>
    </row>
    <row r="694" ht="15.75" customHeight="1">
      <c r="F694" s="11"/>
      <c r="G694" s="20"/>
      <c r="J694" s="11"/>
    </row>
    <row r="695" ht="15.75" customHeight="1">
      <c r="F695" s="11"/>
      <c r="G695" s="20"/>
      <c r="J695" s="11"/>
    </row>
    <row r="696" ht="15.75" customHeight="1">
      <c r="F696" s="11"/>
      <c r="G696" s="20"/>
      <c r="J696" s="11"/>
    </row>
    <row r="697" ht="15.75" customHeight="1">
      <c r="F697" s="11"/>
      <c r="G697" s="20"/>
      <c r="J697" s="11"/>
    </row>
    <row r="698" ht="15.75" customHeight="1">
      <c r="F698" s="11"/>
      <c r="G698" s="20"/>
      <c r="J698" s="11"/>
    </row>
    <row r="699" ht="15.75" customHeight="1">
      <c r="F699" s="11"/>
      <c r="G699" s="20"/>
      <c r="J699" s="11"/>
    </row>
    <row r="700" ht="15.75" customHeight="1">
      <c r="F700" s="11"/>
      <c r="G700" s="20"/>
      <c r="J700" s="11"/>
    </row>
    <row r="701" ht="15.75" customHeight="1">
      <c r="F701" s="11"/>
      <c r="G701" s="20"/>
      <c r="J701" s="11"/>
    </row>
    <row r="702" ht="15.75" customHeight="1">
      <c r="F702" s="11"/>
      <c r="G702" s="20"/>
      <c r="J702" s="11"/>
    </row>
    <row r="703" ht="15.75" customHeight="1">
      <c r="F703" s="11"/>
      <c r="G703" s="20"/>
      <c r="J703" s="11"/>
    </row>
    <row r="704" ht="15.75" customHeight="1">
      <c r="F704" s="11"/>
      <c r="G704" s="20"/>
      <c r="J704" s="11"/>
    </row>
    <row r="705" ht="15.75" customHeight="1">
      <c r="F705" s="11"/>
      <c r="G705" s="20"/>
      <c r="J705" s="11"/>
    </row>
    <row r="706" ht="15.75" customHeight="1">
      <c r="F706" s="11"/>
      <c r="G706" s="20"/>
      <c r="J706" s="11"/>
    </row>
    <row r="707" ht="15.75" customHeight="1">
      <c r="F707" s="11"/>
      <c r="G707" s="20"/>
      <c r="J707" s="11"/>
    </row>
    <row r="708" ht="15.75" customHeight="1">
      <c r="F708" s="11"/>
      <c r="G708" s="20"/>
      <c r="J708" s="11"/>
    </row>
    <row r="709" ht="15.75" customHeight="1">
      <c r="F709" s="11"/>
      <c r="G709" s="20"/>
      <c r="J709" s="11"/>
    </row>
    <row r="710" ht="15.75" customHeight="1">
      <c r="F710" s="11"/>
      <c r="G710" s="20"/>
      <c r="J710" s="11"/>
    </row>
    <row r="711" ht="15.75" customHeight="1">
      <c r="F711" s="11"/>
      <c r="G711" s="20"/>
      <c r="J711" s="11"/>
    </row>
    <row r="712" ht="15.75" customHeight="1">
      <c r="F712" s="11"/>
      <c r="G712" s="20"/>
      <c r="J712" s="11"/>
    </row>
    <row r="713" ht="15.75" customHeight="1">
      <c r="F713" s="11"/>
      <c r="G713" s="20"/>
      <c r="J713" s="11"/>
    </row>
    <row r="714" ht="15.75" customHeight="1">
      <c r="F714" s="11"/>
      <c r="G714" s="20"/>
      <c r="J714" s="11"/>
    </row>
    <row r="715" ht="15.75" customHeight="1">
      <c r="F715" s="11"/>
      <c r="G715" s="20"/>
      <c r="J715" s="11"/>
    </row>
    <row r="716" ht="15.75" customHeight="1">
      <c r="F716" s="11"/>
      <c r="G716" s="20"/>
      <c r="J716" s="11"/>
    </row>
    <row r="717" ht="15.75" customHeight="1">
      <c r="F717" s="11"/>
      <c r="G717" s="20"/>
      <c r="J717" s="11"/>
    </row>
    <row r="718" ht="15.75" customHeight="1">
      <c r="F718" s="11"/>
      <c r="G718" s="20"/>
      <c r="J718" s="11"/>
    </row>
    <row r="719" ht="15.75" customHeight="1">
      <c r="F719" s="11"/>
      <c r="G719" s="20"/>
      <c r="J719" s="11"/>
    </row>
    <row r="720" ht="15.75" customHeight="1">
      <c r="F720" s="11"/>
      <c r="G720" s="20"/>
      <c r="J720" s="11"/>
    </row>
    <row r="721" ht="15.75" customHeight="1">
      <c r="F721" s="11"/>
      <c r="G721" s="20"/>
      <c r="J721" s="11"/>
    </row>
    <row r="722" ht="15.75" customHeight="1">
      <c r="F722" s="11"/>
      <c r="G722" s="20"/>
      <c r="J722" s="11"/>
    </row>
    <row r="723" ht="15.75" customHeight="1">
      <c r="F723" s="11"/>
      <c r="G723" s="20"/>
      <c r="J723" s="11"/>
    </row>
    <row r="724" ht="15.75" customHeight="1">
      <c r="F724" s="11"/>
      <c r="G724" s="20"/>
      <c r="J724" s="11"/>
    </row>
    <row r="725" ht="15.75" customHeight="1">
      <c r="F725" s="11"/>
      <c r="G725" s="20"/>
      <c r="J725" s="11"/>
    </row>
    <row r="726" ht="15.75" customHeight="1">
      <c r="F726" s="11"/>
      <c r="G726" s="20"/>
      <c r="J726" s="11"/>
    </row>
    <row r="727" ht="15.75" customHeight="1">
      <c r="F727" s="11"/>
      <c r="G727" s="20"/>
      <c r="J727" s="11"/>
    </row>
    <row r="728" ht="15.75" customHeight="1">
      <c r="F728" s="11"/>
      <c r="G728" s="20"/>
      <c r="J728" s="11"/>
    </row>
    <row r="729" ht="15.75" customHeight="1">
      <c r="F729" s="11"/>
      <c r="G729" s="20"/>
      <c r="J729" s="11"/>
    </row>
    <row r="730" ht="15.75" customHeight="1">
      <c r="F730" s="11"/>
      <c r="G730" s="20"/>
      <c r="J730" s="11"/>
    </row>
    <row r="731" ht="15.75" customHeight="1">
      <c r="F731" s="11"/>
      <c r="G731" s="20"/>
      <c r="J731" s="11"/>
    </row>
    <row r="732" ht="15.75" customHeight="1">
      <c r="F732" s="11"/>
      <c r="G732" s="20"/>
      <c r="J732" s="11"/>
    </row>
    <row r="733" ht="15.75" customHeight="1">
      <c r="F733" s="11"/>
      <c r="G733" s="20"/>
      <c r="J733" s="11"/>
    </row>
    <row r="734" ht="15.75" customHeight="1">
      <c r="F734" s="11"/>
      <c r="G734" s="20"/>
      <c r="J734" s="11"/>
    </row>
    <row r="735" ht="15.75" customHeight="1">
      <c r="F735" s="11"/>
      <c r="G735" s="20"/>
      <c r="J735" s="11"/>
    </row>
    <row r="736" ht="15.75" customHeight="1">
      <c r="F736" s="11"/>
      <c r="G736" s="20"/>
      <c r="J736" s="11"/>
    </row>
    <row r="737" ht="15.75" customHeight="1">
      <c r="F737" s="11"/>
      <c r="G737" s="20"/>
      <c r="J737" s="11"/>
    </row>
    <row r="738" ht="15.75" customHeight="1">
      <c r="F738" s="11"/>
      <c r="G738" s="20"/>
      <c r="J738" s="11"/>
    </row>
    <row r="739" ht="15.75" customHeight="1">
      <c r="F739" s="11"/>
      <c r="G739" s="20"/>
      <c r="J739" s="11"/>
    </row>
    <row r="740" ht="15.75" customHeight="1">
      <c r="F740" s="11"/>
      <c r="G740" s="20"/>
      <c r="J740" s="11"/>
    </row>
    <row r="741" ht="15.75" customHeight="1">
      <c r="F741" s="11"/>
      <c r="G741" s="20"/>
      <c r="J741" s="11"/>
    </row>
    <row r="742" ht="15.75" customHeight="1">
      <c r="F742" s="11"/>
      <c r="G742" s="20"/>
      <c r="J742" s="11"/>
    </row>
    <row r="743" ht="15.75" customHeight="1">
      <c r="F743" s="11"/>
      <c r="G743" s="20"/>
      <c r="J743" s="11"/>
    </row>
    <row r="744" ht="15.75" customHeight="1">
      <c r="F744" s="11"/>
      <c r="G744" s="20"/>
      <c r="J744" s="11"/>
    </row>
    <row r="745" ht="15.75" customHeight="1">
      <c r="F745" s="11"/>
      <c r="G745" s="20"/>
      <c r="J745" s="11"/>
    </row>
    <row r="746" ht="15.75" customHeight="1">
      <c r="F746" s="11"/>
      <c r="G746" s="20"/>
      <c r="J746" s="11"/>
    </row>
    <row r="747" ht="15.75" customHeight="1">
      <c r="F747" s="11"/>
      <c r="G747" s="20"/>
      <c r="J747" s="11"/>
    </row>
    <row r="748" ht="15.75" customHeight="1">
      <c r="F748" s="11"/>
      <c r="G748" s="20"/>
      <c r="J748" s="11"/>
    </row>
    <row r="749" ht="15.75" customHeight="1">
      <c r="F749" s="11"/>
      <c r="G749" s="20"/>
      <c r="J749" s="11"/>
    </row>
    <row r="750" ht="15.75" customHeight="1">
      <c r="F750" s="11"/>
      <c r="G750" s="20"/>
      <c r="J750" s="11"/>
    </row>
    <row r="751" ht="15.75" customHeight="1">
      <c r="F751" s="11"/>
      <c r="G751" s="20"/>
      <c r="J751" s="11"/>
    </row>
    <row r="752" ht="15.75" customHeight="1">
      <c r="F752" s="11"/>
      <c r="G752" s="20"/>
      <c r="J752" s="11"/>
    </row>
    <row r="753" ht="15.75" customHeight="1">
      <c r="F753" s="11"/>
      <c r="G753" s="20"/>
      <c r="J753" s="11"/>
    </row>
    <row r="754" ht="15.75" customHeight="1">
      <c r="F754" s="11"/>
      <c r="G754" s="20"/>
      <c r="J754" s="11"/>
    </row>
    <row r="755" ht="15.75" customHeight="1">
      <c r="F755" s="11"/>
      <c r="G755" s="20"/>
      <c r="J755" s="11"/>
    </row>
    <row r="756" ht="15.75" customHeight="1">
      <c r="F756" s="11"/>
      <c r="G756" s="20"/>
      <c r="J756" s="11"/>
    </row>
    <row r="757" ht="15.75" customHeight="1">
      <c r="F757" s="11"/>
      <c r="G757" s="20"/>
      <c r="J757" s="11"/>
    </row>
    <row r="758" ht="15.75" customHeight="1">
      <c r="F758" s="11"/>
      <c r="G758" s="20"/>
      <c r="J758" s="11"/>
    </row>
    <row r="759" ht="15.75" customHeight="1">
      <c r="F759" s="11"/>
      <c r="G759" s="20"/>
      <c r="J759" s="11"/>
    </row>
    <row r="760" ht="15.75" customHeight="1">
      <c r="F760" s="11"/>
      <c r="G760" s="20"/>
      <c r="J760" s="11"/>
    </row>
    <row r="761" ht="15.75" customHeight="1">
      <c r="F761" s="11"/>
      <c r="G761" s="20"/>
      <c r="J761" s="11"/>
    </row>
    <row r="762" ht="15.75" customHeight="1">
      <c r="F762" s="11"/>
      <c r="G762" s="20"/>
      <c r="J762" s="11"/>
    </row>
    <row r="763" ht="15.75" customHeight="1">
      <c r="F763" s="11"/>
      <c r="G763" s="20"/>
      <c r="J763" s="11"/>
    </row>
    <row r="764" ht="15.75" customHeight="1">
      <c r="F764" s="11"/>
      <c r="G764" s="20"/>
      <c r="J764" s="11"/>
    </row>
    <row r="765" ht="15.75" customHeight="1">
      <c r="F765" s="11"/>
      <c r="G765" s="20"/>
      <c r="J765" s="11"/>
    </row>
    <row r="766" ht="15.75" customHeight="1">
      <c r="F766" s="11"/>
      <c r="G766" s="20"/>
      <c r="J766" s="11"/>
    </row>
    <row r="767" ht="15.75" customHeight="1">
      <c r="F767" s="11"/>
      <c r="G767" s="20"/>
      <c r="J767" s="11"/>
    </row>
    <row r="768" ht="15.75" customHeight="1">
      <c r="F768" s="11"/>
      <c r="G768" s="20"/>
      <c r="J768" s="11"/>
    </row>
    <row r="769" ht="15.75" customHeight="1">
      <c r="F769" s="11"/>
      <c r="G769" s="20"/>
      <c r="J769" s="11"/>
    </row>
    <row r="770" ht="15.75" customHeight="1">
      <c r="F770" s="11"/>
      <c r="G770" s="20"/>
      <c r="J770" s="11"/>
    </row>
    <row r="771" ht="15.75" customHeight="1">
      <c r="F771" s="11"/>
      <c r="G771" s="20"/>
      <c r="J771" s="11"/>
    </row>
    <row r="772" ht="15.75" customHeight="1">
      <c r="F772" s="11"/>
      <c r="G772" s="20"/>
      <c r="J772" s="11"/>
    </row>
    <row r="773" ht="15.75" customHeight="1">
      <c r="F773" s="11"/>
      <c r="G773" s="20"/>
      <c r="J773" s="11"/>
    </row>
    <row r="774" ht="15.75" customHeight="1">
      <c r="F774" s="11"/>
      <c r="G774" s="20"/>
      <c r="J774" s="11"/>
    </row>
    <row r="775" ht="15.75" customHeight="1">
      <c r="F775" s="11"/>
      <c r="G775" s="20"/>
      <c r="J775" s="11"/>
    </row>
    <row r="776" ht="15.75" customHeight="1">
      <c r="F776" s="11"/>
      <c r="G776" s="20"/>
      <c r="J776" s="11"/>
    </row>
    <row r="777" ht="15.75" customHeight="1">
      <c r="F777" s="11"/>
      <c r="G777" s="20"/>
      <c r="J777" s="11"/>
    </row>
    <row r="778" ht="15.75" customHeight="1">
      <c r="F778" s="11"/>
      <c r="G778" s="20"/>
      <c r="J778" s="11"/>
    </row>
    <row r="779" ht="15.75" customHeight="1">
      <c r="F779" s="11"/>
      <c r="G779" s="20"/>
      <c r="J779" s="11"/>
    </row>
    <row r="780" ht="15.75" customHeight="1">
      <c r="F780" s="11"/>
      <c r="G780" s="20"/>
      <c r="J780" s="11"/>
    </row>
    <row r="781" ht="15.75" customHeight="1">
      <c r="F781" s="11"/>
      <c r="G781" s="20"/>
      <c r="J781" s="11"/>
    </row>
    <row r="782" ht="15.75" customHeight="1">
      <c r="F782" s="11"/>
      <c r="G782" s="20"/>
      <c r="J782" s="11"/>
    </row>
    <row r="783" ht="15.75" customHeight="1">
      <c r="F783" s="11"/>
      <c r="G783" s="20"/>
      <c r="J783" s="11"/>
    </row>
    <row r="784" ht="15.75" customHeight="1">
      <c r="F784" s="11"/>
      <c r="G784" s="20"/>
      <c r="J784" s="11"/>
    </row>
    <row r="785" ht="15.75" customHeight="1">
      <c r="F785" s="11"/>
      <c r="G785" s="20"/>
      <c r="J785" s="11"/>
    </row>
    <row r="786" ht="15.75" customHeight="1">
      <c r="F786" s="11"/>
      <c r="G786" s="20"/>
      <c r="J786" s="11"/>
    </row>
    <row r="787" ht="15.75" customHeight="1">
      <c r="F787" s="11"/>
      <c r="G787" s="20"/>
      <c r="J787" s="11"/>
    </row>
    <row r="788" ht="15.75" customHeight="1">
      <c r="F788" s="11"/>
      <c r="G788" s="20"/>
      <c r="J788" s="11"/>
    </row>
    <row r="789" ht="15.75" customHeight="1">
      <c r="F789" s="11"/>
      <c r="G789" s="20"/>
      <c r="J789" s="11"/>
    </row>
    <row r="790" ht="15.75" customHeight="1">
      <c r="F790" s="11"/>
      <c r="G790" s="20"/>
      <c r="J790" s="11"/>
    </row>
    <row r="791" ht="15.75" customHeight="1">
      <c r="F791" s="11"/>
      <c r="G791" s="20"/>
      <c r="J791" s="11"/>
    </row>
    <row r="792" ht="15.75" customHeight="1">
      <c r="F792" s="11"/>
      <c r="G792" s="20"/>
      <c r="J792" s="11"/>
    </row>
    <row r="793" ht="15.75" customHeight="1">
      <c r="F793" s="11"/>
      <c r="G793" s="20"/>
      <c r="J793" s="11"/>
    </row>
    <row r="794" ht="15.75" customHeight="1">
      <c r="F794" s="11"/>
      <c r="G794" s="20"/>
      <c r="J794" s="11"/>
    </row>
    <row r="795" ht="15.75" customHeight="1">
      <c r="F795" s="11"/>
      <c r="G795" s="20"/>
      <c r="J795" s="11"/>
    </row>
    <row r="796" ht="15.75" customHeight="1">
      <c r="F796" s="11"/>
      <c r="G796" s="20"/>
      <c r="J796" s="11"/>
    </row>
    <row r="797" ht="15.75" customHeight="1">
      <c r="F797" s="11"/>
      <c r="G797" s="20"/>
      <c r="J797" s="11"/>
    </row>
    <row r="798" ht="15.75" customHeight="1">
      <c r="F798" s="11"/>
      <c r="G798" s="20"/>
      <c r="J798" s="11"/>
    </row>
    <row r="799" ht="15.75" customHeight="1">
      <c r="F799" s="11"/>
      <c r="G799" s="20"/>
      <c r="J799" s="11"/>
    </row>
    <row r="800" ht="15.75" customHeight="1">
      <c r="F800" s="11"/>
      <c r="G800" s="20"/>
      <c r="J800" s="11"/>
    </row>
    <row r="801" ht="15.75" customHeight="1">
      <c r="F801" s="11"/>
      <c r="G801" s="20"/>
      <c r="J801" s="11"/>
    </row>
    <row r="802" ht="15.75" customHeight="1">
      <c r="F802" s="11"/>
      <c r="G802" s="20"/>
      <c r="J802" s="11"/>
    </row>
    <row r="803" ht="15.75" customHeight="1">
      <c r="F803" s="11"/>
      <c r="G803" s="20"/>
      <c r="J803" s="11"/>
    </row>
    <row r="804" ht="15.75" customHeight="1">
      <c r="F804" s="11"/>
      <c r="G804" s="20"/>
      <c r="J804" s="11"/>
    </row>
    <row r="805" ht="15.75" customHeight="1">
      <c r="F805" s="11"/>
      <c r="G805" s="20"/>
      <c r="J805" s="11"/>
    </row>
    <row r="806" ht="15.75" customHeight="1">
      <c r="F806" s="11"/>
      <c r="G806" s="20"/>
      <c r="J806" s="11"/>
    </row>
    <row r="807" ht="15.75" customHeight="1">
      <c r="F807" s="11"/>
      <c r="G807" s="20"/>
      <c r="J807" s="11"/>
    </row>
    <row r="808" ht="15.75" customHeight="1">
      <c r="F808" s="11"/>
      <c r="G808" s="20"/>
      <c r="J808" s="11"/>
    </row>
    <row r="809" ht="15.75" customHeight="1">
      <c r="F809" s="11"/>
      <c r="G809" s="20"/>
      <c r="J809" s="11"/>
    </row>
    <row r="810" ht="15.75" customHeight="1">
      <c r="F810" s="11"/>
      <c r="G810" s="20"/>
      <c r="J810" s="11"/>
    </row>
    <row r="811" ht="15.75" customHeight="1">
      <c r="F811" s="11"/>
      <c r="G811" s="20"/>
      <c r="J811" s="11"/>
    </row>
    <row r="812" ht="15.75" customHeight="1">
      <c r="F812" s="11"/>
      <c r="G812" s="20"/>
      <c r="J812" s="11"/>
    </row>
    <row r="813" ht="15.75" customHeight="1">
      <c r="F813" s="11"/>
      <c r="G813" s="20"/>
      <c r="J813" s="11"/>
    </row>
    <row r="814" ht="15.75" customHeight="1">
      <c r="F814" s="11"/>
      <c r="G814" s="20"/>
      <c r="J814" s="11"/>
    </row>
    <row r="815" ht="15.75" customHeight="1">
      <c r="F815" s="11"/>
      <c r="G815" s="20"/>
      <c r="J815" s="11"/>
    </row>
    <row r="816" ht="15.75" customHeight="1">
      <c r="F816" s="11"/>
      <c r="G816" s="20"/>
      <c r="J816" s="11"/>
    </row>
    <row r="817" ht="15.75" customHeight="1">
      <c r="F817" s="11"/>
      <c r="G817" s="20"/>
      <c r="J817" s="11"/>
    </row>
    <row r="818" ht="15.75" customHeight="1">
      <c r="F818" s="11"/>
      <c r="G818" s="20"/>
      <c r="J818" s="11"/>
    </row>
    <row r="819" ht="15.75" customHeight="1">
      <c r="F819" s="11"/>
      <c r="G819" s="20"/>
      <c r="J819" s="11"/>
    </row>
    <row r="820" ht="15.75" customHeight="1">
      <c r="F820" s="11"/>
      <c r="G820" s="20"/>
      <c r="J820" s="11"/>
    </row>
    <row r="821" ht="15.75" customHeight="1">
      <c r="F821" s="11"/>
      <c r="G821" s="20"/>
      <c r="J821" s="11"/>
    </row>
    <row r="822" ht="15.75" customHeight="1">
      <c r="F822" s="11"/>
      <c r="G822" s="20"/>
      <c r="J822" s="11"/>
    </row>
    <row r="823" ht="15.75" customHeight="1">
      <c r="F823" s="11"/>
      <c r="G823" s="20"/>
      <c r="J823" s="11"/>
    </row>
    <row r="824" ht="15.75" customHeight="1">
      <c r="F824" s="11"/>
      <c r="G824" s="20"/>
      <c r="J824" s="11"/>
    </row>
    <row r="825" ht="15.75" customHeight="1">
      <c r="F825" s="11"/>
      <c r="G825" s="20"/>
      <c r="J825" s="11"/>
    </row>
    <row r="826" ht="15.75" customHeight="1">
      <c r="F826" s="11"/>
      <c r="G826" s="20"/>
      <c r="J826" s="11"/>
    </row>
    <row r="827" ht="15.75" customHeight="1">
      <c r="F827" s="11"/>
      <c r="G827" s="20"/>
      <c r="J827" s="11"/>
    </row>
    <row r="828" ht="15.75" customHeight="1">
      <c r="F828" s="11"/>
      <c r="G828" s="20"/>
      <c r="J828" s="11"/>
    </row>
    <row r="829" ht="15.75" customHeight="1">
      <c r="F829" s="11"/>
      <c r="G829" s="20"/>
      <c r="J829" s="11"/>
    </row>
    <row r="830" ht="15.75" customHeight="1">
      <c r="F830" s="11"/>
      <c r="G830" s="20"/>
      <c r="J830" s="11"/>
    </row>
    <row r="831" ht="15.75" customHeight="1">
      <c r="F831" s="11"/>
      <c r="G831" s="20"/>
      <c r="J831" s="11"/>
    </row>
    <row r="832" ht="15.75" customHeight="1">
      <c r="F832" s="11"/>
      <c r="G832" s="20"/>
      <c r="J832" s="11"/>
    </row>
    <row r="833" ht="15.75" customHeight="1">
      <c r="F833" s="11"/>
      <c r="G833" s="20"/>
      <c r="J833" s="11"/>
    </row>
    <row r="834" ht="15.75" customHeight="1">
      <c r="F834" s="11"/>
      <c r="G834" s="20"/>
      <c r="J834" s="11"/>
    </row>
    <row r="835" ht="15.75" customHeight="1">
      <c r="F835" s="11"/>
      <c r="G835" s="20"/>
      <c r="J835" s="11"/>
    </row>
    <row r="836" ht="15.75" customHeight="1">
      <c r="F836" s="11"/>
      <c r="G836" s="20"/>
      <c r="J836" s="11"/>
    </row>
    <row r="837" ht="15.75" customHeight="1">
      <c r="F837" s="11"/>
      <c r="G837" s="20"/>
      <c r="J837" s="11"/>
    </row>
    <row r="838" ht="15.75" customHeight="1">
      <c r="F838" s="11"/>
      <c r="G838" s="20"/>
      <c r="J838" s="11"/>
    </row>
    <row r="839" ht="15.75" customHeight="1">
      <c r="F839" s="11"/>
      <c r="G839" s="20"/>
      <c r="J839" s="11"/>
    </row>
    <row r="840" ht="15.75" customHeight="1">
      <c r="F840" s="11"/>
      <c r="G840" s="20"/>
      <c r="J840" s="11"/>
    </row>
    <row r="841" ht="15.75" customHeight="1">
      <c r="F841" s="11"/>
      <c r="G841" s="20"/>
      <c r="J841" s="11"/>
    </row>
    <row r="842" ht="15.75" customHeight="1">
      <c r="F842" s="11"/>
      <c r="G842" s="20"/>
      <c r="J842" s="11"/>
    </row>
    <row r="843" ht="15.75" customHeight="1">
      <c r="F843" s="11"/>
      <c r="G843" s="20"/>
      <c r="J843" s="11"/>
    </row>
    <row r="844" ht="15.75" customHeight="1">
      <c r="F844" s="11"/>
      <c r="G844" s="20"/>
      <c r="J844" s="11"/>
    </row>
    <row r="845" ht="15.75" customHeight="1">
      <c r="F845" s="11"/>
      <c r="G845" s="20"/>
      <c r="J845" s="11"/>
    </row>
    <row r="846" ht="15.75" customHeight="1">
      <c r="F846" s="11"/>
      <c r="G846" s="20"/>
      <c r="J846" s="11"/>
    </row>
    <row r="847" ht="15.75" customHeight="1">
      <c r="F847" s="11"/>
      <c r="G847" s="20"/>
      <c r="J847" s="11"/>
    </row>
    <row r="848" ht="15.75" customHeight="1">
      <c r="F848" s="11"/>
      <c r="G848" s="20"/>
      <c r="J848" s="11"/>
    </row>
    <row r="849" ht="15.75" customHeight="1">
      <c r="F849" s="11"/>
      <c r="G849" s="20"/>
      <c r="J849" s="11"/>
    </row>
    <row r="850" ht="15.75" customHeight="1">
      <c r="F850" s="11"/>
      <c r="G850" s="20"/>
      <c r="J850" s="11"/>
    </row>
    <row r="851" ht="15.75" customHeight="1">
      <c r="F851" s="11"/>
      <c r="G851" s="20"/>
      <c r="J851" s="11"/>
    </row>
    <row r="852" ht="15.75" customHeight="1">
      <c r="F852" s="11"/>
      <c r="G852" s="20"/>
      <c r="J852" s="11"/>
    </row>
    <row r="853" ht="15.75" customHeight="1">
      <c r="F853" s="11"/>
      <c r="G853" s="20"/>
      <c r="J853" s="11"/>
    </row>
    <row r="854" ht="15.75" customHeight="1">
      <c r="F854" s="11"/>
      <c r="G854" s="20"/>
      <c r="J854" s="11"/>
    </row>
    <row r="855" ht="15.75" customHeight="1">
      <c r="F855" s="11"/>
      <c r="G855" s="20"/>
      <c r="J855" s="11"/>
    </row>
    <row r="856" ht="15.75" customHeight="1">
      <c r="F856" s="11"/>
      <c r="G856" s="20"/>
      <c r="J856" s="11"/>
    </row>
    <row r="857" ht="15.75" customHeight="1">
      <c r="F857" s="11"/>
      <c r="G857" s="20"/>
      <c r="J857" s="11"/>
    </row>
    <row r="858" ht="15.75" customHeight="1">
      <c r="F858" s="11"/>
      <c r="G858" s="20"/>
      <c r="J858" s="11"/>
    </row>
    <row r="859" ht="15.75" customHeight="1">
      <c r="F859" s="11"/>
      <c r="G859" s="20"/>
      <c r="J859" s="11"/>
    </row>
    <row r="860" ht="15.75" customHeight="1">
      <c r="F860" s="11"/>
      <c r="G860" s="20"/>
      <c r="J860" s="11"/>
    </row>
    <row r="861" ht="15.75" customHeight="1">
      <c r="F861" s="11"/>
      <c r="G861" s="20"/>
      <c r="J861" s="11"/>
    </row>
    <row r="862" ht="15.75" customHeight="1">
      <c r="F862" s="11"/>
      <c r="G862" s="20"/>
      <c r="J862" s="11"/>
    </row>
    <row r="863" ht="15.75" customHeight="1">
      <c r="F863" s="11"/>
      <c r="G863" s="20"/>
      <c r="J863" s="11"/>
    </row>
    <row r="864" ht="15.75" customHeight="1">
      <c r="F864" s="11"/>
      <c r="G864" s="20"/>
      <c r="J864" s="11"/>
    </row>
    <row r="865" ht="15.75" customHeight="1">
      <c r="F865" s="11"/>
      <c r="G865" s="20"/>
      <c r="J865" s="11"/>
    </row>
    <row r="866" ht="15.75" customHeight="1">
      <c r="F866" s="11"/>
      <c r="G866" s="20"/>
      <c r="J866" s="11"/>
    </row>
    <row r="867" ht="15.75" customHeight="1">
      <c r="F867" s="11"/>
      <c r="G867" s="20"/>
      <c r="J867" s="11"/>
    </row>
    <row r="868" ht="15.75" customHeight="1">
      <c r="F868" s="11"/>
      <c r="G868" s="20"/>
      <c r="J868" s="11"/>
    </row>
    <row r="869" ht="15.75" customHeight="1">
      <c r="F869" s="11"/>
      <c r="G869" s="20"/>
      <c r="J869" s="11"/>
    </row>
    <row r="870" ht="15.75" customHeight="1">
      <c r="F870" s="11"/>
      <c r="G870" s="20"/>
      <c r="J870" s="11"/>
    </row>
    <row r="871" ht="15.75" customHeight="1">
      <c r="F871" s="11"/>
      <c r="G871" s="20"/>
      <c r="J871" s="11"/>
    </row>
    <row r="872" ht="15.75" customHeight="1">
      <c r="F872" s="11"/>
      <c r="G872" s="20"/>
      <c r="J872" s="11"/>
    </row>
    <row r="873" ht="15.75" customHeight="1">
      <c r="F873" s="11"/>
      <c r="G873" s="20"/>
      <c r="J873" s="11"/>
    </row>
    <row r="874" ht="15.75" customHeight="1">
      <c r="F874" s="11"/>
      <c r="G874" s="20"/>
      <c r="J874" s="11"/>
    </row>
    <row r="875" ht="15.75" customHeight="1">
      <c r="F875" s="11"/>
      <c r="G875" s="20"/>
      <c r="J875" s="11"/>
    </row>
    <row r="876" ht="15.75" customHeight="1">
      <c r="F876" s="11"/>
      <c r="G876" s="20"/>
      <c r="J876" s="11"/>
    </row>
    <row r="877" ht="15.75" customHeight="1">
      <c r="F877" s="11"/>
      <c r="G877" s="20"/>
      <c r="J877" s="11"/>
    </row>
    <row r="878" ht="15.75" customHeight="1">
      <c r="F878" s="11"/>
      <c r="G878" s="20"/>
      <c r="J878" s="11"/>
    </row>
    <row r="879" ht="15.75" customHeight="1">
      <c r="F879" s="11"/>
      <c r="G879" s="20"/>
      <c r="J879" s="11"/>
    </row>
    <row r="880" ht="15.75" customHeight="1">
      <c r="F880" s="11"/>
      <c r="G880" s="20"/>
      <c r="J880" s="11"/>
    </row>
    <row r="881" ht="15.75" customHeight="1">
      <c r="F881" s="11"/>
      <c r="G881" s="20"/>
      <c r="J881" s="11"/>
    </row>
    <row r="882" ht="15.75" customHeight="1">
      <c r="F882" s="11"/>
      <c r="G882" s="20"/>
      <c r="J882" s="11"/>
    </row>
    <row r="883" ht="15.75" customHeight="1">
      <c r="F883" s="11"/>
      <c r="G883" s="20"/>
      <c r="J883" s="11"/>
    </row>
    <row r="884" ht="15.75" customHeight="1">
      <c r="F884" s="11"/>
      <c r="G884" s="20"/>
      <c r="J884" s="11"/>
    </row>
    <row r="885" ht="15.75" customHeight="1">
      <c r="F885" s="11"/>
      <c r="G885" s="20"/>
      <c r="J885" s="11"/>
    </row>
    <row r="886" ht="15.75" customHeight="1">
      <c r="F886" s="11"/>
      <c r="G886" s="20"/>
      <c r="J886" s="11"/>
    </row>
    <row r="887" ht="15.75" customHeight="1">
      <c r="F887" s="11"/>
      <c r="G887" s="20"/>
      <c r="J887" s="11"/>
    </row>
    <row r="888" ht="15.75" customHeight="1">
      <c r="F888" s="11"/>
      <c r="G888" s="20"/>
      <c r="J888" s="11"/>
    </row>
    <row r="889" ht="15.75" customHeight="1">
      <c r="F889" s="11"/>
      <c r="G889" s="20"/>
      <c r="J889" s="11"/>
    </row>
    <row r="890" ht="15.75" customHeight="1">
      <c r="F890" s="11"/>
      <c r="G890" s="20"/>
      <c r="J890" s="11"/>
    </row>
    <row r="891" ht="15.75" customHeight="1">
      <c r="F891" s="11"/>
      <c r="G891" s="20"/>
      <c r="J891" s="11"/>
    </row>
    <row r="892" ht="15.75" customHeight="1">
      <c r="F892" s="11"/>
      <c r="G892" s="20"/>
      <c r="J892" s="11"/>
    </row>
    <row r="893" ht="15.75" customHeight="1">
      <c r="F893" s="11"/>
      <c r="G893" s="20"/>
      <c r="J893" s="11"/>
    </row>
    <row r="894" ht="15.75" customHeight="1">
      <c r="F894" s="11"/>
      <c r="G894" s="20"/>
      <c r="J894" s="11"/>
    </row>
    <row r="895" ht="15.75" customHeight="1">
      <c r="F895" s="11"/>
      <c r="G895" s="20"/>
      <c r="J895" s="11"/>
    </row>
    <row r="896" ht="15.75" customHeight="1">
      <c r="F896" s="11"/>
      <c r="G896" s="20"/>
      <c r="J896" s="11"/>
    </row>
    <row r="897" ht="15.75" customHeight="1">
      <c r="F897" s="11"/>
      <c r="G897" s="20"/>
      <c r="J897" s="11"/>
    </row>
    <row r="898" ht="15.75" customHeight="1">
      <c r="F898" s="11"/>
      <c r="G898" s="20"/>
      <c r="J898" s="11"/>
    </row>
    <row r="899" ht="15.75" customHeight="1">
      <c r="F899" s="11"/>
      <c r="G899" s="20"/>
      <c r="J899" s="11"/>
    </row>
    <row r="900" ht="15.75" customHeight="1">
      <c r="F900" s="11"/>
      <c r="G900" s="20"/>
      <c r="J900" s="11"/>
    </row>
    <row r="901" ht="15.75" customHeight="1">
      <c r="F901" s="11"/>
      <c r="G901" s="20"/>
      <c r="J901" s="11"/>
    </row>
    <row r="902" ht="15.75" customHeight="1">
      <c r="F902" s="11"/>
      <c r="G902" s="20"/>
      <c r="J902" s="11"/>
    </row>
    <row r="903" ht="15.75" customHeight="1">
      <c r="F903" s="11"/>
      <c r="G903" s="20"/>
      <c r="J903" s="11"/>
    </row>
    <row r="904" ht="15.75" customHeight="1">
      <c r="F904" s="11"/>
      <c r="G904" s="20"/>
      <c r="J904" s="11"/>
    </row>
    <row r="905" ht="15.75" customHeight="1">
      <c r="F905" s="11"/>
      <c r="G905" s="20"/>
      <c r="J905" s="11"/>
    </row>
    <row r="906" ht="15.75" customHeight="1">
      <c r="F906" s="11"/>
      <c r="G906" s="20"/>
      <c r="J906" s="11"/>
    </row>
    <row r="907" ht="15.75" customHeight="1">
      <c r="F907" s="11"/>
      <c r="G907" s="20"/>
      <c r="J907" s="11"/>
    </row>
    <row r="908" ht="15.75" customHeight="1">
      <c r="F908" s="11"/>
      <c r="G908" s="20"/>
      <c r="J908" s="11"/>
    </row>
    <row r="909" ht="15.75" customHeight="1">
      <c r="F909" s="11"/>
      <c r="G909" s="20"/>
      <c r="J909" s="11"/>
    </row>
    <row r="910" ht="15.75" customHeight="1">
      <c r="F910" s="11"/>
      <c r="G910" s="20"/>
      <c r="J910" s="11"/>
    </row>
    <row r="911" ht="15.75" customHeight="1">
      <c r="F911" s="11"/>
      <c r="G911" s="20"/>
      <c r="J911" s="11"/>
    </row>
    <row r="912" ht="15.75" customHeight="1">
      <c r="F912" s="11"/>
      <c r="G912" s="20"/>
      <c r="J912" s="11"/>
    </row>
    <row r="913" ht="15.75" customHeight="1">
      <c r="F913" s="11"/>
      <c r="G913" s="20"/>
      <c r="J913" s="11"/>
    </row>
    <row r="914" ht="15.75" customHeight="1">
      <c r="F914" s="11"/>
      <c r="G914" s="20"/>
      <c r="J914" s="11"/>
    </row>
    <row r="915" ht="15.75" customHeight="1">
      <c r="F915" s="11"/>
      <c r="G915" s="20"/>
      <c r="J915" s="11"/>
    </row>
    <row r="916" ht="15.75" customHeight="1">
      <c r="F916" s="11"/>
      <c r="G916" s="20"/>
      <c r="J916" s="11"/>
    </row>
    <row r="917" ht="15.75" customHeight="1">
      <c r="F917" s="11"/>
      <c r="G917" s="20"/>
      <c r="J917" s="11"/>
    </row>
    <row r="918" ht="15.75" customHeight="1">
      <c r="F918" s="11"/>
      <c r="G918" s="20"/>
      <c r="J918" s="11"/>
    </row>
    <row r="919" ht="15.75" customHeight="1">
      <c r="F919" s="11"/>
      <c r="G919" s="20"/>
      <c r="J919" s="11"/>
    </row>
    <row r="920" ht="15.75" customHeight="1">
      <c r="F920" s="11"/>
      <c r="G920" s="20"/>
      <c r="J920" s="11"/>
    </row>
    <row r="921" ht="15.75" customHeight="1">
      <c r="F921" s="11"/>
      <c r="G921" s="20"/>
      <c r="J921" s="11"/>
    </row>
    <row r="922" ht="15.75" customHeight="1">
      <c r="F922" s="11"/>
      <c r="G922" s="20"/>
      <c r="J922" s="11"/>
    </row>
    <row r="923" ht="15.75" customHeight="1">
      <c r="F923" s="11"/>
      <c r="G923" s="20"/>
      <c r="J923" s="11"/>
    </row>
    <row r="924" ht="15.75" customHeight="1">
      <c r="F924" s="11"/>
      <c r="G924" s="20"/>
      <c r="J924" s="11"/>
    </row>
    <row r="925" ht="15.75" customHeight="1">
      <c r="F925" s="11"/>
      <c r="G925" s="20"/>
      <c r="J925" s="11"/>
    </row>
    <row r="926" ht="15.75" customHeight="1">
      <c r="F926" s="11"/>
      <c r="G926" s="20"/>
      <c r="J926" s="11"/>
    </row>
    <row r="927" ht="15.75" customHeight="1">
      <c r="F927" s="11"/>
      <c r="G927" s="20"/>
      <c r="J927" s="11"/>
    </row>
    <row r="928" ht="15.75" customHeight="1">
      <c r="F928" s="11"/>
      <c r="G928" s="20"/>
      <c r="J928" s="11"/>
    </row>
    <row r="929" ht="15.75" customHeight="1">
      <c r="F929" s="11"/>
      <c r="G929" s="20"/>
      <c r="J929" s="11"/>
    </row>
    <row r="930" ht="15.75" customHeight="1">
      <c r="F930" s="11"/>
      <c r="G930" s="20"/>
      <c r="J930" s="11"/>
    </row>
    <row r="931" ht="15.75" customHeight="1">
      <c r="F931" s="11"/>
      <c r="G931" s="20"/>
      <c r="J931" s="11"/>
    </row>
    <row r="932" ht="15.75" customHeight="1">
      <c r="F932" s="11"/>
      <c r="G932" s="20"/>
      <c r="J932" s="11"/>
    </row>
    <row r="933" ht="15.75" customHeight="1">
      <c r="F933" s="11"/>
      <c r="G933" s="20"/>
      <c r="J933" s="11"/>
    </row>
    <row r="934" ht="15.75" customHeight="1">
      <c r="F934" s="11"/>
      <c r="G934" s="20"/>
      <c r="J934" s="11"/>
    </row>
    <row r="935" ht="15.75" customHeight="1">
      <c r="F935" s="11"/>
      <c r="G935" s="20"/>
      <c r="J935" s="11"/>
    </row>
    <row r="936" ht="15.75" customHeight="1">
      <c r="F936" s="11"/>
      <c r="G936" s="20"/>
      <c r="J936" s="11"/>
    </row>
    <row r="937" ht="15.75" customHeight="1">
      <c r="F937" s="11"/>
      <c r="G937" s="20"/>
      <c r="J937" s="11"/>
    </row>
    <row r="938" ht="15.75" customHeight="1">
      <c r="F938" s="11"/>
      <c r="G938" s="20"/>
      <c r="J938" s="11"/>
    </row>
    <row r="939" ht="15.75" customHeight="1">
      <c r="F939" s="11"/>
      <c r="G939" s="20"/>
      <c r="J939" s="11"/>
    </row>
    <row r="940" ht="15.75" customHeight="1">
      <c r="F940" s="11"/>
      <c r="G940" s="20"/>
      <c r="J940" s="11"/>
    </row>
    <row r="941" ht="15.75" customHeight="1">
      <c r="F941" s="11"/>
      <c r="G941" s="20"/>
      <c r="J941" s="11"/>
    </row>
    <row r="942" ht="15.75" customHeight="1">
      <c r="F942" s="11"/>
      <c r="G942" s="20"/>
      <c r="J942" s="11"/>
    </row>
    <row r="943" ht="15.75" customHeight="1">
      <c r="F943" s="11"/>
      <c r="G943" s="20"/>
      <c r="J943" s="11"/>
    </row>
    <row r="944" ht="15.75" customHeight="1">
      <c r="F944" s="11"/>
      <c r="G944" s="20"/>
      <c r="J944" s="11"/>
    </row>
    <row r="945" ht="15.75" customHeight="1">
      <c r="F945" s="11"/>
      <c r="G945" s="20"/>
      <c r="J945" s="11"/>
    </row>
    <row r="946" ht="15.75" customHeight="1">
      <c r="F946" s="11"/>
      <c r="G946" s="20"/>
      <c r="J946" s="11"/>
    </row>
    <row r="947" ht="15.75" customHeight="1">
      <c r="F947" s="11"/>
      <c r="G947" s="20"/>
      <c r="J947" s="11"/>
    </row>
    <row r="948" ht="15.75" customHeight="1">
      <c r="F948" s="11"/>
      <c r="G948" s="20"/>
      <c r="J948" s="11"/>
    </row>
    <row r="949" ht="15.75" customHeight="1">
      <c r="F949" s="11"/>
      <c r="G949" s="20"/>
      <c r="J949" s="11"/>
    </row>
    <row r="950" ht="15.75" customHeight="1">
      <c r="F950" s="11"/>
      <c r="G950" s="20"/>
      <c r="J950" s="11"/>
    </row>
    <row r="951" ht="15.75" customHeight="1">
      <c r="F951" s="11"/>
      <c r="G951" s="20"/>
      <c r="J951" s="11"/>
    </row>
    <row r="952" ht="15.75" customHeight="1">
      <c r="F952" s="11"/>
      <c r="G952" s="20"/>
      <c r="J952" s="11"/>
    </row>
    <row r="953" ht="15.75" customHeight="1">
      <c r="F953" s="11"/>
      <c r="G953" s="20"/>
      <c r="J953" s="11"/>
    </row>
    <row r="954" ht="15.75" customHeight="1">
      <c r="F954" s="11"/>
      <c r="G954" s="20"/>
      <c r="J954" s="11"/>
    </row>
    <row r="955" ht="15.75" customHeight="1">
      <c r="F955" s="11"/>
      <c r="G955" s="20"/>
      <c r="J955" s="11"/>
    </row>
    <row r="956" ht="15.75" customHeight="1">
      <c r="F956" s="11"/>
      <c r="G956" s="20"/>
      <c r="J956" s="11"/>
    </row>
    <row r="957" ht="15.75" customHeight="1">
      <c r="F957" s="11"/>
      <c r="G957" s="20"/>
      <c r="J957" s="11"/>
    </row>
    <row r="958" ht="15.75" customHeight="1">
      <c r="F958" s="11"/>
      <c r="G958" s="20"/>
      <c r="J958" s="11"/>
    </row>
    <row r="959" ht="15.75" customHeight="1">
      <c r="F959" s="11"/>
      <c r="G959" s="20"/>
      <c r="J959" s="11"/>
    </row>
    <row r="960" ht="15.75" customHeight="1">
      <c r="F960" s="11"/>
      <c r="G960" s="20"/>
      <c r="J960" s="11"/>
    </row>
    <row r="961" ht="15.75" customHeight="1">
      <c r="F961" s="11"/>
      <c r="G961" s="20"/>
      <c r="J961" s="11"/>
    </row>
    <row r="962" ht="15.75" customHeight="1">
      <c r="F962" s="11"/>
      <c r="G962" s="20"/>
      <c r="J962" s="11"/>
    </row>
    <row r="963" ht="15.75" customHeight="1">
      <c r="F963" s="11"/>
      <c r="G963" s="20"/>
      <c r="J963" s="11"/>
    </row>
    <row r="964" ht="15.75" customHeight="1">
      <c r="F964" s="11"/>
      <c r="G964" s="20"/>
      <c r="J964" s="11"/>
    </row>
    <row r="965" ht="15.75" customHeight="1">
      <c r="F965" s="11"/>
      <c r="G965" s="20"/>
      <c r="J965" s="11"/>
    </row>
    <row r="966" ht="15.75" customHeight="1">
      <c r="F966" s="11"/>
      <c r="G966" s="20"/>
      <c r="J966" s="11"/>
    </row>
    <row r="967" ht="15.75" customHeight="1">
      <c r="F967" s="11"/>
      <c r="G967" s="20"/>
      <c r="J967" s="11"/>
    </row>
    <row r="968" ht="15.75" customHeight="1">
      <c r="F968" s="11"/>
      <c r="G968" s="20"/>
      <c r="J968" s="11"/>
    </row>
    <row r="969" ht="15.75" customHeight="1">
      <c r="F969" s="11"/>
      <c r="G969" s="20"/>
      <c r="J969" s="11"/>
    </row>
    <row r="970" ht="15.75" customHeight="1">
      <c r="F970" s="11"/>
      <c r="G970" s="20"/>
      <c r="J970" s="11"/>
    </row>
    <row r="971" ht="15.75" customHeight="1">
      <c r="F971" s="11"/>
      <c r="G971" s="20"/>
      <c r="J971" s="11"/>
    </row>
    <row r="972" ht="15.75" customHeight="1">
      <c r="F972" s="11"/>
      <c r="G972" s="20"/>
      <c r="J972" s="11"/>
    </row>
    <row r="973" ht="15.75" customHeight="1">
      <c r="F973" s="11"/>
      <c r="G973" s="20"/>
      <c r="J973" s="11"/>
    </row>
    <row r="974" ht="15.75" customHeight="1">
      <c r="F974" s="11"/>
      <c r="G974" s="20"/>
      <c r="J974" s="11"/>
    </row>
    <row r="975" ht="15.75" customHeight="1">
      <c r="F975" s="11"/>
      <c r="G975" s="20"/>
      <c r="J975" s="11"/>
    </row>
    <row r="976" ht="15.75" customHeight="1">
      <c r="F976" s="11"/>
      <c r="G976" s="20"/>
      <c r="J976" s="11"/>
    </row>
    <row r="977" ht="15.75" customHeight="1">
      <c r="F977" s="11"/>
      <c r="G977" s="20"/>
      <c r="J977" s="11"/>
    </row>
    <row r="978" ht="15.75" customHeight="1">
      <c r="F978" s="11"/>
      <c r="G978" s="20"/>
      <c r="J978" s="11"/>
    </row>
    <row r="979" ht="15.75" customHeight="1">
      <c r="F979" s="11"/>
      <c r="G979" s="20"/>
      <c r="J979" s="11"/>
    </row>
    <row r="980" ht="15.75" customHeight="1">
      <c r="F980" s="11"/>
      <c r="G980" s="20"/>
      <c r="J980" s="11"/>
    </row>
    <row r="981" ht="15.75" customHeight="1">
      <c r="F981" s="11"/>
      <c r="G981" s="20"/>
      <c r="J981" s="11"/>
    </row>
    <row r="982" ht="15.75" customHeight="1">
      <c r="F982" s="11"/>
      <c r="G982" s="20"/>
      <c r="J982" s="11"/>
    </row>
    <row r="983" ht="15.75" customHeight="1">
      <c r="F983" s="11"/>
      <c r="G983" s="20"/>
      <c r="J983" s="11"/>
    </row>
    <row r="984" ht="15.75" customHeight="1">
      <c r="F984" s="11"/>
      <c r="G984" s="20"/>
      <c r="J984" s="11"/>
    </row>
    <row r="985" ht="15.75" customHeight="1">
      <c r="F985" s="11"/>
      <c r="G985" s="20"/>
      <c r="J985" s="11"/>
    </row>
    <row r="986" ht="15.75" customHeight="1">
      <c r="F986" s="11"/>
      <c r="G986" s="20"/>
      <c r="J986" s="11"/>
    </row>
    <row r="987" ht="15.75" customHeight="1">
      <c r="F987" s="11"/>
      <c r="G987" s="20"/>
      <c r="J987" s="11"/>
    </row>
    <row r="988" ht="15.75" customHeight="1">
      <c r="F988" s="11"/>
      <c r="G988" s="20"/>
      <c r="J988" s="11"/>
    </row>
    <row r="989" ht="15.75" customHeight="1">
      <c r="F989" s="11"/>
      <c r="G989" s="20"/>
      <c r="J989" s="11"/>
    </row>
    <row r="990" ht="15.75" customHeight="1">
      <c r="F990" s="11"/>
      <c r="G990" s="20"/>
      <c r="J990" s="11"/>
    </row>
    <row r="991" ht="15.75" customHeight="1">
      <c r="F991" s="11"/>
      <c r="G991" s="20"/>
      <c r="J991" s="11"/>
    </row>
    <row r="992" ht="15.75" customHeight="1">
      <c r="F992" s="11"/>
      <c r="G992" s="20"/>
      <c r="J992" s="11"/>
    </row>
    <row r="993" ht="15.75" customHeight="1">
      <c r="F993" s="11"/>
      <c r="G993" s="20"/>
      <c r="J993" s="11"/>
    </row>
    <row r="994" ht="15.75" customHeight="1">
      <c r="F994" s="11"/>
      <c r="G994" s="20"/>
      <c r="J994" s="11"/>
    </row>
    <row r="995" ht="15.75" customHeight="1">
      <c r="F995" s="11"/>
      <c r="G995" s="20"/>
      <c r="J995" s="11"/>
    </row>
    <row r="996" ht="15.75" customHeight="1">
      <c r="F996" s="11"/>
      <c r="G996" s="20"/>
      <c r="J996" s="11"/>
    </row>
    <row r="997" ht="15.75" customHeight="1">
      <c r="F997" s="11"/>
      <c r="G997" s="20"/>
      <c r="J997" s="11"/>
    </row>
    <row r="998" ht="15.75" customHeight="1">
      <c r="F998" s="11"/>
      <c r="G998" s="20"/>
      <c r="J998" s="11"/>
    </row>
    <row r="999" ht="15.75" customHeight="1">
      <c r="F999" s="11"/>
      <c r="G999" s="20"/>
      <c r="J999" s="11"/>
    </row>
    <row r="1000" ht="15.75" customHeight="1">
      <c r="F1000" s="11"/>
      <c r="G1000" s="20"/>
      <c r="J1000" s="11"/>
    </row>
  </sheetData>
  <printOptions/>
  <pageMargins bottom="1.0" footer="0.0" header="0.0" left="0.75" right="0.75" top="1.0"/>
  <pageSetup orientation="portrait"/>
  <colBreaks count="1" manualBreakCount="1">
    <brk id="21" man="1"/>
  </colBreaks>
  <drawing r:id="rId1"/>
</worksheet>
</file>